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I Class\Assessment\Capstone Project\data\part2-20260616T123936Z-3-001\part2\"/>
    </mc:Choice>
  </mc:AlternateContent>
  <xr:revisionPtr revIDLastSave="0" documentId="13_ncr:1_{5B72E801-944C-452E-9535-25FB4162EDB4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Region Analysis" sheetId="4" r:id="rId1"/>
    <sheet name="Device Type Analysis" sheetId="5" r:id="rId2"/>
    <sheet name="Traffic Source Analysis" sheetId="6" r:id="rId3"/>
    <sheet name="experiment_data" sheetId="1" r:id="rId4"/>
    <sheet name="AB_Test" sheetId="7" r:id="rId5"/>
    <sheet name="Summary_Metrics" sheetId="3" r:id="rId6"/>
    <sheet name="business_context" sheetId="2" r:id="rId7"/>
  </sheets>
  <definedNames>
    <definedName name="_xlnm._FilterDatabase" localSheetId="4" hidden="1">AB_Test!$A$1:$A$1409</definedName>
    <definedName name="_xlnm._FilterDatabase" localSheetId="3" hidden="1">experiment_data!$A$1:$P$1412</definedName>
  </definedNames>
  <calcPr calcId="191029"/>
  <pivotCaches>
    <pivotCache cacheId="9" r:id="rId8"/>
  </pivotCaches>
</workbook>
</file>

<file path=xl/calcChain.xml><?xml version="1.0" encoding="utf-8"?>
<calcChain xmlns="http://schemas.openxmlformats.org/spreadsheetml/2006/main">
  <c r="O1413" i="1" l="1"/>
  <c r="M1412" i="1"/>
  <c r="O1411" i="1" l="1"/>
  <c r="O1412" i="1"/>
  <c r="P1411" i="1"/>
  <c r="P1412" i="1"/>
  <c r="M1410" i="1"/>
  <c r="N1412" i="1"/>
  <c r="N1411" i="1"/>
  <c r="L1412" i="1"/>
  <c r="K1411" i="1"/>
  <c r="K1412" i="1"/>
  <c r="I1412" i="1"/>
  <c r="J1411" i="1"/>
  <c r="I1411" i="1"/>
  <c r="J1412" i="1"/>
</calcChain>
</file>

<file path=xl/sharedStrings.xml><?xml version="1.0" encoding="utf-8"?>
<sst xmlns="http://schemas.openxmlformats.org/spreadsheetml/2006/main" count="8577" uniqueCount="1487">
  <si>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</si>
  <si>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</si>
  <si>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</si>
  <si>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</si>
  <si>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</si>
  <si>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</si>
  <si>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</si>
  <si>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</si>
  <si>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</si>
  <si>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</si>
  <si>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</si>
  <si>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</si>
  <si>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</si>
  <si>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</si>
  <si>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</si>
  <si>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</si>
  <si>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</si>
  <si>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</si>
  <si>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</si>
  <si>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</si>
  <si>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</si>
  <si>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</si>
  <si>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</si>
  <si>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</si>
  <si>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</si>
  <si>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</si>
  <si>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</si>
  <si>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</si>
  <si>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</si>
  <si>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</si>
  <si>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</si>
  <si>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</si>
  <si>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</si>
  <si>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</si>
  <si>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</si>
  <si>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</si>
  <si>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</si>
  <si>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</si>
  <si>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</si>
  <si>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</si>
  <si>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</si>
  <si>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</si>
  <si>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</si>
  <si>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</si>
  <si>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</si>
  <si>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</si>
  <si>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</si>
  <si>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</si>
  <si>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</si>
  <si>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</si>
  <si>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</si>
  <si>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</si>
  <si>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</si>
  <si>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</si>
  <si>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</si>
  <si>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</si>
  <si>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</si>
  <si>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</si>
  <si>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</si>
  <si>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</si>
  <si>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</si>
  <si>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</si>
  <si>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</si>
  <si>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</si>
  <si>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</si>
  <si>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</si>
  <si>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</si>
  <si>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</si>
  <si>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</si>
  <si>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</si>
  <si>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</si>
  <si>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</si>
  <si>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</si>
  <si>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</si>
  <si>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</si>
  <si>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</si>
  <si>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</si>
  <si>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</si>
  <si>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</si>
  <si>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</si>
  <si>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</si>
  <si>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</si>
  <si>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</si>
  <si>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</si>
  <si>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</si>
  <si>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</si>
  <si>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</si>
  <si>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</si>
  <si>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</si>
  <si>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</si>
  <si>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</si>
  <si>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</si>
  <si>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</si>
  <si>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</si>
  <si>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</si>
  <si>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</si>
  <si>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</si>
  <si>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</si>
  <si>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</si>
  <si>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</si>
  <si>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</si>
  <si>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</si>
  <si>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</si>
  <si>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</si>
  <si>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</si>
  <si>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</si>
  <si>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</si>
  <si>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</si>
  <si>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</si>
  <si>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</si>
  <si>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</si>
  <si>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</si>
  <si>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</si>
  <si>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</si>
  <si>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</si>
  <si>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</si>
  <si>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</si>
  <si>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</si>
  <si>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</si>
  <si>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</si>
  <si>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</si>
  <si>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</si>
  <si>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</si>
  <si>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</si>
  <si>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</si>
  <si>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</si>
  <si>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</si>
  <si>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</si>
  <si>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</si>
  <si>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</si>
  <si>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</si>
  <si>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</si>
  <si>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</si>
  <si>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</si>
  <si>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</si>
  <si>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</si>
  <si>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</si>
  <si>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</si>
  <si>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</si>
  <si>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</si>
  <si>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</si>
  <si>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</si>
  <si>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</si>
  <si>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</si>
  <si>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</si>
  <si>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</si>
  <si>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</si>
  <si>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</si>
  <si>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</si>
  <si>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</si>
  <si>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</si>
  <si>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</si>
  <si>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</si>
  <si>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</si>
  <si>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</si>
  <si>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</si>
  <si>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</si>
  <si>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</si>
  <si>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</si>
  <si>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</si>
  <si>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</si>
  <si>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</si>
  <si>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</si>
  <si>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</si>
  <si>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</si>
  <si>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</si>
  <si>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</si>
  <si>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</si>
  <si>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</si>
  <si>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</si>
  <si>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</si>
  <si>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</si>
  <si>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</si>
  <si>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</si>
  <si>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</si>
  <si>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</si>
  <si>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</si>
  <si>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</si>
  <si>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</si>
  <si>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</si>
  <si>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</si>
  <si>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</si>
  <si>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</si>
  <si>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</si>
  <si>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</si>
  <si>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</si>
  <si>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</si>
  <si>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</si>
  <si>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</si>
  <si>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</si>
  <si>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</si>
  <si>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</si>
  <si>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</si>
  <si>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</si>
  <si>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</si>
  <si>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</si>
  <si>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</si>
  <si>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</si>
  <si>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</si>
  <si>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</si>
  <si>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</si>
  <si>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</si>
  <si>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</si>
  <si>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</si>
  <si>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</si>
  <si>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</si>
  <si>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</si>
  <si>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</si>
  <si>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</si>
  <si>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</si>
  <si>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</si>
  <si>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</si>
  <si>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</si>
  <si>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</si>
  <si>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</si>
  <si>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</si>
  <si>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</si>
  <si>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</si>
  <si>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</si>
  <si>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</si>
  <si>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</si>
  <si>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</si>
  <si>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</si>
  <si>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</si>
  <si>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</si>
  <si>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</si>
  <si>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</si>
  <si>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</si>
  <si>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</si>
  <si>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</si>
  <si>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</si>
  <si>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</si>
  <si>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</si>
  <si>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</si>
  <si>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</si>
  <si>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</si>
  <si>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</si>
  <si>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</si>
  <si>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</si>
  <si>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</si>
  <si>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</si>
  <si>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</si>
  <si>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</si>
  <si>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</si>
  <si>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</si>
  <si>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</si>
  <si>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</si>
  <si>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</si>
  <si>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</si>
  <si>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</si>
  <si>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</si>
  <si>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</si>
  <si>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</si>
  <si>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</si>
  <si>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</si>
  <si>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</si>
  <si>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</si>
  <si>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</si>
  <si>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</si>
  <si>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</si>
  <si>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</si>
  <si>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</si>
  <si>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</si>
  <si>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</si>
  <si>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</si>
  <si>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</si>
  <si>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</si>
  <si>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</si>
  <si>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</si>
  <si>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</si>
  <si>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</si>
  <si>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</si>
  <si>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</si>
  <si>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</si>
  <si>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</si>
  <si>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</si>
  <si>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</si>
  <si>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</si>
  <si>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</si>
  <si>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</si>
  <si>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</si>
  <si>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</si>
  <si>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</si>
  <si>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</si>
  <si>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</si>
  <si>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</si>
  <si>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</si>
  <si>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</si>
  <si>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</si>
  <si>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</si>
  <si>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</si>
  <si>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</si>
  <si>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</si>
  <si>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</si>
  <si>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</si>
  <si>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</si>
  <si>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</si>
  <si>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</si>
  <si>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</si>
  <si>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</si>
  <si>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</si>
  <si>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</si>
  <si>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</si>
  <si>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</si>
  <si>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</si>
  <si>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</si>
  <si>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</si>
  <si>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</si>
  <si>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</si>
  <si>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</si>
  <si>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</si>
  <si>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</si>
  <si>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</si>
  <si>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</si>
  <si>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</si>
  <si>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</si>
  <si>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</si>
  <si>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</si>
  <si>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</si>
  <si>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</si>
  <si>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</si>
  <si>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</si>
  <si>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</si>
  <si>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</si>
  <si>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</si>
  <si>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</si>
  <si>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</si>
  <si>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</si>
  <si>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</si>
  <si>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</si>
  <si>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</si>
  <si>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</si>
  <si>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</si>
  <si>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</si>
  <si>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</si>
  <si>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</si>
  <si>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</si>
  <si>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</si>
  <si>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</si>
  <si>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</si>
  <si>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</si>
  <si>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</si>
  <si>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</si>
  <si>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</si>
  <si>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</si>
  <si>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</si>
  <si>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</si>
  <si>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</si>
  <si>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</si>
  <si>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</si>
  <si>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</si>
  <si>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</si>
  <si>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</si>
  <si>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</si>
  <si>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</si>
  <si>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</si>
  <si>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</si>
  <si>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</si>
  <si>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</si>
  <si>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</si>
  <si>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</si>
  <si>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</si>
  <si>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</si>
  <si>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</si>
  <si>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</si>
  <si>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</si>
  <si>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</si>
  <si>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</si>
  <si>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</si>
  <si>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</si>
  <si>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</si>
  <si>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</si>
  <si>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</si>
  <si>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</si>
  <si>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</si>
  <si>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</si>
  <si>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</si>
  <si>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</si>
  <si>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</si>
  <si>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</si>
  <si>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</si>
  <si>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</si>
  <si>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</si>
  <si>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</si>
  <si>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</si>
  <si>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</si>
  <si>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</si>
  <si>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</si>
  <si>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</si>
  <si>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</si>
  <si>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</si>
  <si>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</si>
  <si>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</si>
  <si>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</si>
  <si>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</si>
  <si>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</si>
  <si>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</si>
  <si>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</si>
  <si>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</si>
  <si>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</si>
  <si>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</si>
  <si>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</si>
  <si>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</si>
  <si>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</si>
  <si>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</si>
  <si>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</si>
  <si>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</si>
  <si>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</si>
  <si>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</si>
  <si>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</si>
  <si>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</si>
  <si>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</si>
  <si>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</si>
  <si>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</si>
  <si>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</si>
  <si>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</si>
  <si>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</si>
  <si>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</si>
  <si>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</si>
  <si>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</si>
  <si>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</si>
  <si>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</si>
  <si>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</si>
  <si>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</si>
  <si>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</si>
  <si>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</si>
  <si>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</si>
  <si>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</si>
  <si>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</si>
  <si>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</si>
  <si>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</si>
  <si>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</si>
  <si>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</si>
  <si>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</si>
  <si>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</si>
  <si>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</si>
  <si>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</si>
  <si>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</si>
  <si>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</si>
  <si>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</si>
  <si>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</si>
  <si>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</si>
  <si>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</si>
  <si>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</si>
  <si>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</si>
  <si>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</si>
  <si>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</si>
  <si>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</si>
  <si>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</si>
  <si>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</si>
  <si>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</si>
  <si>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</si>
  <si>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</si>
  <si>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</si>
  <si>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</si>
  <si>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</si>
  <si>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</si>
  <si>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</si>
  <si>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</si>
  <si>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</si>
  <si>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</si>
  <si>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</si>
  <si>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</si>
  <si>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</si>
  <si>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</si>
  <si>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</si>
  <si>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</si>
  <si>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</si>
  <si>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</si>
  <si>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</si>
  <si>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</si>
  <si>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</si>
  <si>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</si>
  <si>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</si>
  <si>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</si>
  <si>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</si>
  <si>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</si>
  <si>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</si>
  <si>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</si>
  <si>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</si>
  <si>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</si>
  <si>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</si>
  <si>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</si>
  <si>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</si>
  <si>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</si>
  <si>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</si>
  <si>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</si>
  <si>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</si>
  <si>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</si>
  <si>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</si>
  <si>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</si>
  <si>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</si>
  <si>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</si>
  <si>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</si>
  <si>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</si>
  <si>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</si>
  <si>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</si>
  <si>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</si>
  <si>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</si>
  <si>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</si>
  <si>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</si>
  <si>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</si>
  <si>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</si>
  <si>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</si>
  <si>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</si>
  <si>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</si>
  <si>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</si>
  <si>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</si>
  <si>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</si>
  <si>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</si>
  <si>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</si>
  <si>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</si>
  <si>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</si>
  <si>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</si>
  <si>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</si>
  <si>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</si>
  <si>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</si>
  <si>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</si>
  <si>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</si>
  <si>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</si>
  <si>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</si>
  <si>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</si>
  <si>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</si>
  <si>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</si>
  <si>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</si>
  <si>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</si>
  <si>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</si>
  <si>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</si>
  <si>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</si>
  <si>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</si>
  <si>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</si>
  <si>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</si>
  <si>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</si>
  <si>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</si>
  <si>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</si>
  <si>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</si>
  <si>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</si>
  <si>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</si>
  <si>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</si>
  <si>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</si>
  <si>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</si>
  <si>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</si>
  <si>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</si>
  <si>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</si>
  <si>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</si>
  <si>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</si>
  <si>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</si>
  <si>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</si>
  <si>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</si>
  <si>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</si>
  <si>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</si>
  <si>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</si>
  <si>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</si>
  <si>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</si>
  <si>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</si>
  <si>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</si>
  <si>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</si>
  <si>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</si>
  <si>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</si>
  <si>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</si>
  <si>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</si>
  <si>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</si>
  <si>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</si>
  <si>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</si>
  <si>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</si>
  <si>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</si>
  <si>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</si>
  <si>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</si>
  <si>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</si>
  <si>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</si>
  <si>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</si>
  <si>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</si>
  <si>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</si>
  <si>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</si>
  <si>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</si>
  <si>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</si>
  <si>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</si>
  <si>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</si>
  <si>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</si>
  <si>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</si>
  <si>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</si>
  <si>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</si>
  <si>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</si>
  <si>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</si>
  <si>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</si>
  <si>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</si>
  <si>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</si>
  <si>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</si>
  <si>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</si>
  <si>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</si>
  <si>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</si>
  <si>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</si>
  <si>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</si>
  <si>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</si>
  <si>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</si>
  <si>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</si>
  <si>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</si>
  <si>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</si>
  <si>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</si>
  <si>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</si>
  <si>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</si>
  <si>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</si>
  <si>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</si>
  <si>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</si>
  <si>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</si>
  <si>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</si>
  <si>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</si>
  <si>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</si>
  <si>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</si>
  <si>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</si>
  <si>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</si>
  <si>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</si>
  <si>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</si>
  <si>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</si>
  <si>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</si>
  <si>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</si>
  <si>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</si>
  <si>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</si>
  <si>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</si>
  <si>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</si>
  <si>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</si>
  <si>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</si>
  <si>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</si>
  <si>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</si>
  <si>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</si>
  <si>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</si>
  <si>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</si>
  <si>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</si>
  <si>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</si>
  <si>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</si>
  <si>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</si>
  <si>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</si>
  <si>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</si>
  <si>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</si>
  <si>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</si>
  <si>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</si>
  <si>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</si>
  <si>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</si>
  <si>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</si>
  <si>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</si>
  <si>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</si>
  <si>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</si>
  <si>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</si>
  <si>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</si>
  <si>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</si>
  <si>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</si>
  <si>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</si>
  <si>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</si>
  <si>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</si>
  <si>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</si>
  <si>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</si>
  <si>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</si>
  <si>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</si>
  <si>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</si>
  <si>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</si>
  <si>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</si>
  <si>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</si>
  <si>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</si>
  <si>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</si>
  <si>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</si>
  <si>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</si>
  <si>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</si>
  <si>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</si>
  <si>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</si>
  <si>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</si>
  <si>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</si>
  <si>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</si>
  <si>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</si>
  <si>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</si>
  <si>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</si>
  <si>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</si>
  <si>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</si>
  <si>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</si>
  <si>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</si>
  <si>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</si>
  <si>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</si>
  <si>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</si>
  <si>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</si>
  <si>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</si>
  <si>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</si>
  <si>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</si>
  <si>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</si>
  <si>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</si>
  <si>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</si>
  <si>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</si>
  <si>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</si>
  <si>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</si>
  <si>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</si>
  <si>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</si>
  <si>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</si>
  <si>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</si>
  <si>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</si>
  <si>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</si>
  <si>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</si>
  <si>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</si>
  <si>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</si>
  <si>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</si>
  <si>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</si>
  <si>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</si>
  <si>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</si>
  <si>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</si>
  <si>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</si>
  <si>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</si>
  <si>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</si>
  <si>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</si>
  <si>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</si>
  <si>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</si>
  <si>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</si>
  <si>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</si>
  <si>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</si>
  <si>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</si>
  <si>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</si>
  <si>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</si>
  <si>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</si>
  <si>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</si>
  <si>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</si>
  <si>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</si>
  <si>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</si>
  <si>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</si>
  <si>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</si>
  <si>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</si>
  <si>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</si>
  <si>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</si>
  <si>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</si>
  <si>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</si>
  <si>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</si>
  <si>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</si>
  <si>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</si>
  <si>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</si>
  <si>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</si>
  <si>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</si>
  <si>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</si>
  <si>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</si>
  <si>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</si>
  <si>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</si>
  <si>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</si>
  <si>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</si>
  <si>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</si>
  <si>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</si>
  <si>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</si>
  <si>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</si>
  <si>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</si>
  <si>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</si>
  <si>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</si>
  <si>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</si>
  <si>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</si>
  <si>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</si>
  <si>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</si>
  <si>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</si>
  <si>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</si>
  <si>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</si>
  <si>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</si>
  <si>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</si>
  <si>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</si>
  <si>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</si>
  <si>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</si>
  <si>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</si>
  <si>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</si>
  <si>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</si>
  <si>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</si>
  <si>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</si>
  <si>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</si>
  <si>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</si>
  <si>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</si>
  <si>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</si>
  <si>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</si>
  <si>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</si>
  <si>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</si>
  <si>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</si>
  <si>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</si>
  <si>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</si>
  <si>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</si>
  <si>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</si>
  <si>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</si>
  <si>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</si>
  <si>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</si>
  <si>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</si>
  <si>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</si>
  <si>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</si>
  <si>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</si>
  <si>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</si>
  <si>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</si>
  <si>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</si>
  <si>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</si>
  <si>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</si>
  <si>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</si>
  <si>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</si>
  <si>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</si>
  <si>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</si>
  <si>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</si>
  <si>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</si>
  <si>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</si>
  <si>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</si>
  <si>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</si>
  <si>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</si>
  <si>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</si>
  <si>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</si>
  <si>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</si>
  <si>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</si>
  <si>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</si>
  <si>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</si>
  <si>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</si>
  <si>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</si>
  <si>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</si>
  <si>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</si>
  <si>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</si>
  <si>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</si>
  <si>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</si>
  <si>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</si>
  <si>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</si>
  <si>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</si>
  <si>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</si>
  <si>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</si>
  <si>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</si>
  <si>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</si>
  <si>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</si>
  <si>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</si>
  <si>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</si>
  <si>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</si>
  <si>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</si>
  <si>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</si>
  <si>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</si>
  <si>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</si>
  <si>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</si>
  <si>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</si>
  <si>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</si>
  <si>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</si>
  <si>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</si>
  <si>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</si>
  <si>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</si>
  <si>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</si>
  <si>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</si>
  <si>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</si>
  <si>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</si>
  <si>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</si>
  <si>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</si>
  <si>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</si>
  <si>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</si>
  <si>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</si>
  <si>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</si>
  <si>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</si>
  <si>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</si>
  <si>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</si>
  <si>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</si>
  <si>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</si>
  <si>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</si>
  <si>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</si>
  <si>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</si>
  <si>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</si>
  <si>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</si>
  <si>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</si>
  <si>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</si>
  <si>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</si>
  <si>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</si>
  <si>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</si>
  <si>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</si>
  <si>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</si>
  <si>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</si>
  <si>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</si>
  <si>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</si>
  <si>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</si>
  <si>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</si>
  <si>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</si>
  <si>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</si>
  <si>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</si>
  <si>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</si>
  <si>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</si>
  <si>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</si>
  <si>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</si>
  <si>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</si>
  <si>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</si>
  <si>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</si>
  <si>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</si>
  <si>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</si>
  <si>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</si>
  <si>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</si>
  <si>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</si>
  <si>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</si>
  <si>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</si>
  <si>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</si>
  <si>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</si>
  <si>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</si>
  <si>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</si>
  <si>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</si>
  <si>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</si>
  <si>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</si>
  <si>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</si>
  <si>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</si>
  <si>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</si>
  <si>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</si>
  <si>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</si>
  <si>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</si>
  <si>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</si>
  <si>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</si>
  <si>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</si>
  <si>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</si>
  <si>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</si>
  <si>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</si>
  <si>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</si>
  <si>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</si>
  <si>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</si>
  <si>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</si>
  <si>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</si>
  <si>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</si>
  <si>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</si>
  <si>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</si>
  <si>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</si>
  <si>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</si>
  <si>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</si>
  <si>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</si>
  <si>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</si>
  <si>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</si>
  <si>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</si>
  <si>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</si>
  <si>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</si>
  <si>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</si>
  <si>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</si>
  <si>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</si>
  <si>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</si>
  <si>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</si>
  <si>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</si>
  <si>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</si>
  <si>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</si>
  <si>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</si>
  <si>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</si>
  <si>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</si>
  <si>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</si>
  <si>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</si>
  <si>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</si>
  <si>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</si>
  <si>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</si>
  <si>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</si>
  <si>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</si>
  <si>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</si>
  <si>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</si>
  <si>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</si>
  <si>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</si>
  <si>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</si>
  <si>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</si>
  <si>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</si>
  <si>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</si>
  <si>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</si>
  <si>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</si>
  <si>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</si>
  <si>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</si>
  <si>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</si>
  <si>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</si>
  <si>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</si>
  <si>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</si>
  <si>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</si>
  <si>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</si>
  <si>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</si>
  <si>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</si>
  <si>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</si>
  <si>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</si>
  <si>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</si>
  <si>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</si>
  <si>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</si>
  <si>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</si>
  <si>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</si>
  <si>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</si>
  <si>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</si>
  <si>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</si>
  <si>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</si>
  <si>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</si>
  <si>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</si>
  <si>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</si>
  <si>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</si>
  <si>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</si>
  <si>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</si>
  <si>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</si>
  <si>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</si>
  <si>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</si>
  <si>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</si>
  <si>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</si>
  <si>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</si>
  <si>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</si>
  <si>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</si>
  <si>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</si>
  <si>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</si>
  <si>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</si>
  <si>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</si>
  <si>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</si>
  <si>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</si>
  <si>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</si>
  <si>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</si>
  <si>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</si>
  <si>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</si>
  <si>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</si>
  <si>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</si>
  <si>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</si>
  <si>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</si>
  <si>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</si>
  <si>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</si>
  <si>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</si>
  <si>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</si>
  <si>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</si>
  <si>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</si>
  <si>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</si>
  <si>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</si>
  <si>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</si>
  <si>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</si>
  <si>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</si>
  <si>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</si>
  <si>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</si>
  <si>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</si>
  <si>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</si>
  <si>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</si>
  <si>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</si>
  <si>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</si>
  <si>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</si>
  <si>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</si>
  <si>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</si>
  <si>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</si>
  <si>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</si>
  <si>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</si>
  <si>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</si>
  <si>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</si>
  <si>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</si>
  <si>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</si>
  <si>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</si>
  <si>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</si>
  <si>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</si>
  <si>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</si>
  <si>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</si>
  <si>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</si>
  <si>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</si>
  <si>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</si>
  <si>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</si>
  <si>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</si>
  <si>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</si>
  <si>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</si>
  <si>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</si>
  <si>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</si>
  <si>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</si>
  <si>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</si>
  <si>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</si>
  <si>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</si>
  <si>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</si>
  <si>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</si>
  <si>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</si>
  <si>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</si>
  <si>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</si>
  <si>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</si>
  <si>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</si>
  <si>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</si>
  <si>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</si>
  <si>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</si>
  <si>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</si>
  <si>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</si>
  <si>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</si>
  <si>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</si>
  <si>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</si>
  <si>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</si>
  <si>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</si>
  <si>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</si>
  <si>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</si>
  <si>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</si>
  <si>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</si>
  <si>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</si>
  <si>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</si>
  <si>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</si>
  <si>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</si>
  <si>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</si>
  <si>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</si>
  <si>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</si>
  <si>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</si>
  <si>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</si>
  <si>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</si>
  <si>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</si>
  <si>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</si>
  <si>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</si>
  <si>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</si>
  <si>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</si>
  <si>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</si>
  <si>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</si>
  <si>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</si>
  <si>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</si>
  <si>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</si>
  <si>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</si>
  <si>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</si>
  <si>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</si>
  <si>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</si>
  <si>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</si>
  <si>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</si>
  <si>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</si>
  <si>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</si>
  <si>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</si>
  <si>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</si>
  <si>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</si>
  <si>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</si>
  <si>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</si>
  <si>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</si>
  <si>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</si>
  <si>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</si>
  <si>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</si>
  <si>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</si>
  <si>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</si>
  <si>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</si>
  <si>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</si>
  <si>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</si>
  <si>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</si>
  <si>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</si>
  <si>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</si>
  <si>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</si>
  <si>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</si>
  <si>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</si>
  <si>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</si>
  <si>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</si>
  <si>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</si>
  <si>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</si>
  <si>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</si>
  <si>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</si>
  <si>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</si>
  <si>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</si>
  <si>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</si>
  <si>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</si>
  <si>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</si>
  <si>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</si>
  <si>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</si>
  <si>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</si>
  <si>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</si>
  <si>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</si>
  <si>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</si>
  <si>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</si>
  <si>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</si>
  <si>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</si>
  <si>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</si>
  <si>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</si>
  <si>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</si>
  <si>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</si>
  <si>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</si>
  <si>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</si>
  <si>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</si>
  <si>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</si>
  <si>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</si>
  <si>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</si>
  <si>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</si>
  <si>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</si>
  <si>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</si>
  <si>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</si>
  <si>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</si>
  <si>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</si>
  <si>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</si>
  <si>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</si>
  <si>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</si>
  <si>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</si>
  <si>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</si>
  <si>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</si>
  <si>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</si>
  <si>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</si>
  <si>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</si>
  <si>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</si>
  <si>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</si>
  <si>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</si>
  <si>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</si>
  <si>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</si>
  <si>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</si>
  <si>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</si>
  <si>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</si>
  <si>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</si>
  <si>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</si>
  <si>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</si>
  <si>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</si>
  <si>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</si>
  <si>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</si>
  <si>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</si>
  <si>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</si>
  <si>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</si>
  <si>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</si>
  <si>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</si>
  <si>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</si>
  <si>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</si>
  <si>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</si>
  <si>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</si>
  <si>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</si>
  <si>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</si>
  <si>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</si>
  <si>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</si>
  <si>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</si>
  <si>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</si>
  <si>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</si>
  <si>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</si>
  <si>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</si>
  <si>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</si>
  <si>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</si>
  <si>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</si>
  <si>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</si>
  <si>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</si>
  <si>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</si>
  <si>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</si>
  <si>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</si>
  <si>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</si>
  <si>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</si>
  <si>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</si>
  <si>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</si>
  <si>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</si>
  <si>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</si>
  <si>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</si>
  <si>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</si>
  <si>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</si>
  <si>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</si>
  <si>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</si>
  <si>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</si>
  <si>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</si>
  <si>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</si>
  <si>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</si>
  <si>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</si>
  <si>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</si>
  <si>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</si>
  <si>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</si>
  <si>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</si>
  <si>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</si>
  <si>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</si>
  <si>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</si>
  <si>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</si>
  <si>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</si>
  <si>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</si>
  <si>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</si>
  <si>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</si>
  <si>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</si>
  <si>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</si>
  <si>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</si>
  <si>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</si>
  <si>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</si>
  <si>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</si>
  <si>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</si>
  <si>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</si>
  <si>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</si>
  <si>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</si>
  <si>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</si>
  <si>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</si>
  <si>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</si>
  <si>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</si>
  <si>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</si>
  <si>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</si>
  <si>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</si>
  <si>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</si>
  <si>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</si>
  <si>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</si>
  <si>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</si>
  <si>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</si>
  <si>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</si>
  <si>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</si>
  <si>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</si>
  <si>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</si>
  <si>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</si>
  <si>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</si>
  <si>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</si>
  <si>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</si>
  <si>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</si>
  <si>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</si>
  <si>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</si>
  <si>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</si>
  <si>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</si>
  <si>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</si>
  <si>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</si>
  <si>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</si>
  <si>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</si>
  <si>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</si>
  <si>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</si>
  <si>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</si>
  <si>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</si>
  <si>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</si>
  <si>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</si>
  <si>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</si>
  <si>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</si>
  <si>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</si>
  <si>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</si>
  <si>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</si>
  <si>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</si>
  <si>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</si>
  <si>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</si>
  <si>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</si>
  <si>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</si>
  <si>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</si>
  <si>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</si>
  <si>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</si>
  <si>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</si>
  <si>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</si>
  <si>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</si>
  <si>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</si>
  <si>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</si>
  <si>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</si>
  <si>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</si>
  <si>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</si>
  <si>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</si>
  <si>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</si>
  <si>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</si>
  <si>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</si>
  <si>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</si>
  <si>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</si>
  <si>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</si>
  <si>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</si>
  <si>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</si>
  <si>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</si>
  <si>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</si>
  <si>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</si>
  <si>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</si>
  <si>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</si>
  <si>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</si>
  <si>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</si>
  <si>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</si>
  <si>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</si>
  <si>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</si>
  <si>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</si>
  <si>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</si>
  <si>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</si>
  <si>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</si>
  <si>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</si>
  <si>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</si>
  <si>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</si>
  <si>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</si>
  <si>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</si>
  <si>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</si>
  <si>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</si>
  <si>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</si>
  <si>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</si>
  <si>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</si>
  <si>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</si>
  <si>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</si>
  <si>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</si>
  <si>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</si>
  <si>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</si>
  <si>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</si>
  <si>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</si>
  <si>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</si>
  <si>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</si>
  <si>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</si>
  <si>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</si>
  <si>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</si>
  <si>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</si>
  <si>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</si>
  <si>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</si>
  <si>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</si>
  <si>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</si>
  <si>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</si>
  <si>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</si>
  <si>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</si>
  <si>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</si>
  <si>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</si>
  <si>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</si>
  <si>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</si>
  <si>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</si>
  <si>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</si>
  <si>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</si>
  <si>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</si>
  <si>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</si>
  <si>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</si>
  <si>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</si>
  <si>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</si>
  <si>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</si>
  <si>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</si>
  <si>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</si>
  <si>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</si>
  <si>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</si>
  <si>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</si>
  <si>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</si>
  <si>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</si>
  <si>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</si>
  <si>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</si>
  <si>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</si>
  <si>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</si>
  <si>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</si>
  <si>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</si>
  <si>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</si>
  <si>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</si>
  <si>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</si>
  <si>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</si>
  <si>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</si>
  <si>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</si>
  <si>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</si>
  <si>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</si>
  <si>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</si>
  <si>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</si>
  <si>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</si>
  <si>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</si>
  <si>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</si>
  <si>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</si>
  <si>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</si>
  <si>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</si>
  <si>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</si>
  <si>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</si>
  <si>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</si>
  <si>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</si>
  <si>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</si>
  <si>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</si>
  <si>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</si>
  <si>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</si>
  <si>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</si>
  <si>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</si>
  <si>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</si>
  <si>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</si>
  <si>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</si>
  <si>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</si>
  <si>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</si>
  <si>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</si>
  <si>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</si>
  <si>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</si>
  <si>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</si>
  <si>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</si>
  <si>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</si>
  <si>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</si>
  <si>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</si>
  <si>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</si>
  <si>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</si>
  <si>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</si>
  <si>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</si>
  <si>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</si>
  <si>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</si>
  <si>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</si>
  <si>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</si>
  <si>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</si>
  <si>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</si>
  <si>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</si>
  <si>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</si>
  <si>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</si>
  <si>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</si>
  <si>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</si>
  <si>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</si>
  <si>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</si>
  <si>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</si>
  <si>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</si>
  <si>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</si>
  <si>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</si>
  <si>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</si>
  <si>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</si>
  <si>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</si>
  <si>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</si>
  <si>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</si>
  <si>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</si>
  <si>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</si>
  <si>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</si>
  <si>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</si>
  <si>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</si>
  <si>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</si>
  <si>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</si>
  <si>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</si>
  <si>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</si>
  <si>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</si>
  <si>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</si>
  <si>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</si>
  <si>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</si>
  <si>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</si>
  <si>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</si>
  <si>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</si>
  <si>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</si>
  <si>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</si>
  <si>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</si>
  <si>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</si>
  <si>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</si>
  <si>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</si>
  <si>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</si>
  <si>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</si>
  <si>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</si>
  <si>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</si>
  <si>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</si>
  <si>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</si>
  <si>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</si>
  <si>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</si>
  <si>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</si>
  <si>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</si>
  <si>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</si>
  <si>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</si>
  <si>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</si>
  <si>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Column Labels</t>
  </si>
  <si>
    <t>Count of user_id</t>
  </si>
  <si>
    <t>Total Count of user_id</t>
  </si>
  <si>
    <t>Total Average of engagement_score</t>
  </si>
  <si>
    <t>Average of engagement_score</t>
  </si>
  <si>
    <t>Total Average of revenue_30d</t>
  </si>
  <si>
    <t>Average of revenue_30d</t>
  </si>
  <si>
    <t>(blank)</t>
  </si>
  <si>
    <t>converted_to_paid_Control</t>
  </si>
  <si>
    <t>converted_to_paid_Treatment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</si>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</sst>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sz val="10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 shah" refreshedDate="46192.910464583336" createdVersion="8" refreshedVersion="8" minRefreshableVersion="3" recordCount="1408" xr:uid="{D0394D13-E3AB-479A-BF42-E57F5C5FA99E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 count="73">
        <n v="0"/>
        <n v="240.42"/>
        <n v="457.51"/>
        <n v="363.32"/>
        <n v="3887.98"/>
        <n v="8610.7199999999993"/>
        <n v="404.4"/>
        <n v="577.94000000000005"/>
        <n v="1281.25"/>
        <n v="1052.8"/>
        <n v="553.37"/>
        <n v="1250.78"/>
        <n v="1198.69"/>
        <n v="6788.95"/>
        <n v="409.39"/>
        <n v="426.82"/>
        <n v="874.55"/>
        <n v="2206.88"/>
        <n v="2144.8200000000002"/>
        <n v="1518.83"/>
        <n v="513.61"/>
        <n v="751.73"/>
        <n v="347.52"/>
        <n v="444.13"/>
        <n v="516.66999999999996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00000000002"/>
        <n v="341.38"/>
        <n v="513.52"/>
        <n v="476.44"/>
        <n v="324.68"/>
        <n v="301.98"/>
        <n v="1772.97"/>
        <n v="218.66"/>
        <n v="1938.31"/>
        <n v="1906.23"/>
        <n v="268.95999999999998"/>
        <n v="437.09"/>
        <n v="331.53"/>
        <n v="774.78"/>
        <n v="422.02"/>
        <n v="416.94"/>
        <n v="921.72"/>
        <n v="290.39"/>
        <n v="1858.85"/>
        <n v="1547.06"/>
        <n v="265.58999999999997"/>
        <n v="351.43"/>
        <n v="352.42"/>
        <n v="1074.1600000000001"/>
        <n v="618.91"/>
        <n v="923.67"/>
        <n v="420.27"/>
        <n v="1496.09"/>
        <n v="428.37"/>
        <n v="444.06"/>
        <n v="2660.21"/>
        <n v="323.60000000000002"/>
        <n v="751.33"/>
        <n v="1009.9"/>
      </sharedItems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x v="0"/>
    <n v="0"/>
    <n v="0"/>
    <m/>
    <n v="45.7"/>
  </r>
  <r>
    <s v="USR-100002"/>
    <d v="2025-03-08T00:00:00"/>
    <x v="0"/>
    <x v="1"/>
    <x v="1"/>
    <x v="1"/>
    <s v="Free"/>
    <n v="1"/>
    <n v="0"/>
    <n v="0"/>
    <n v="0"/>
    <x v="0"/>
    <n v="0"/>
    <n v="0"/>
    <m/>
    <n v="48.6"/>
  </r>
  <r>
    <s v="USR-100003"/>
    <d v="2025-04-24T00:00:00"/>
    <x v="0"/>
    <x v="2"/>
    <x v="1"/>
    <x v="2"/>
    <s v="Premium"/>
    <n v="1"/>
    <n v="0"/>
    <n v="0"/>
    <n v="0"/>
    <x v="0"/>
    <n v="1"/>
    <n v="0"/>
    <m/>
    <n v="35.4"/>
  </r>
  <r>
    <s v="USR-100004"/>
    <d v="2025-05-04T00:00:00"/>
    <x v="0"/>
    <x v="3"/>
    <x v="1"/>
    <x v="0"/>
    <s v="Basic"/>
    <n v="1"/>
    <n v="0"/>
    <n v="0"/>
    <n v="0"/>
    <x v="0"/>
    <n v="0"/>
    <n v="0"/>
    <m/>
    <n v="64.599999999999994"/>
  </r>
  <r>
    <s v="USR-100005"/>
    <d v="2025-02-12T00:00:00"/>
    <x v="0"/>
    <x v="0"/>
    <x v="2"/>
    <x v="1"/>
    <s v="Free"/>
    <n v="0"/>
    <n v="0"/>
    <n v="0"/>
    <n v="0"/>
    <x v="0"/>
    <n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x v="0"/>
    <n v="0"/>
    <n v="0"/>
    <m/>
    <n v="40.799999999999997"/>
  </r>
  <r>
    <s v="USR-100007"/>
    <d v="2025-04-08T00:00:00"/>
    <x v="0"/>
    <x v="2"/>
    <x v="1"/>
    <x v="2"/>
    <s v="Basic"/>
    <n v="1"/>
    <n v="1"/>
    <n v="0"/>
    <n v="0"/>
    <x v="0"/>
    <n v="0"/>
    <n v="0"/>
    <m/>
    <n v="57.1"/>
  </r>
  <r>
    <s v="USR-100008"/>
    <d v="2025-05-17T00:00:00"/>
    <x v="0"/>
    <x v="3"/>
    <x v="1"/>
    <x v="2"/>
    <s v="Free"/>
    <n v="0"/>
    <n v="0"/>
    <n v="0"/>
    <n v="0"/>
    <x v="0"/>
    <n v="0"/>
    <n v="0"/>
    <m/>
    <n v="36.4"/>
  </r>
  <r>
    <s v="USR-100009"/>
    <d v="2025-02-23T00:00:00"/>
    <x v="0"/>
    <x v="3"/>
    <x v="2"/>
    <x v="3"/>
    <s v="Basic"/>
    <n v="0"/>
    <n v="0"/>
    <n v="0"/>
    <n v="0"/>
    <x v="0"/>
    <n v="0"/>
    <n v="0"/>
    <m/>
    <n v="55.4"/>
  </r>
  <r>
    <s v="USR-100010"/>
    <d v="2025-05-29T00:00:00"/>
    <x v="0"/>
    <x v="1"/>
    <x v="0"/>
    <x v="4"/>
    <s v="Free"/>
    <n v="1"/>
    <n v="0"/>
    <n v="0"/>
    <n v="0"/>
    <x v="0"/>
    <n v="0"/>
    <n v="0"/>
    <m/>
    <n v="57.3"/>
  </r>
  <r>
    <s v="USR-100011"/>
    <d v="2025-04-30T00:00:00"/>
    <x v="0"/>
    <x v="2"/>
    <x v="1"/>
    <x v="2"/>
    <s v="Basic"/>
    <n v="1"/>
    <n v="1"/>
    <n v="1"/>
    <n v="0"/>
    <x v="0"/>
    <n v="0"/>
    <n v="0"/>
    <m/>
    <n v="63.6"/>
  </r>
  <r>
    <s v="USR-100012"/>
    <d v="2025-03-16T00:00:00"/>
    <x v="0"/>
    <x v="2"/>
    <x v="1"/>
    <x v="4"/>
    <s v="Premium"/>
    <n v="1"/>
    <n v="1"/>
    <n v="1"/>
    <n v="0"/>
    <x v="0"/>
    <n v="1"/>
    <n v="0"/>
    <m/>
    <n v="80.400000000000006"/>
  </r>
  <r>
    <s v="USR-100013"/>
    <d v="2025-02-07T00:00:00"/>
    <x v="0"/>
    <x v="3"/>
    <x v="0"/>
    <x v="0"/>
    <s v="Basic"/>
    <n v="1"/>
    <n v="0"/>
    <n v="0"/>
    <n v="0"/>
    <x v="0"/>
    <n v="0"/>
    <n v="0"/>
    <m/>
    <n v="62.4"/>
  </r>
  <r>
    <s v="USR-100014"/>
    <d v="2025-03-02T00:00:00"/>
    <x v="0"/>
    <x v="1"/>
    <x v="1"/>
    <x v="4"/>
    <s v="Basic"/>
    <n v="1"/>
    <n v="0"/>
    <n v="0"/>
    <n v="0"/>
    <x v="0"/>
    <n v="0"/>
    <n v="0"/>
    <m/>
    <n v="82.4"/>
  </r>
  <r>
    <s v="USR-100015"/>
    <d v="2025-05-30T00:00:00"/>
    <x v="0"/>
    <x v="3"/>
    <x v="1"/>
    <x v="1"/>
    <s v="Basic"/>
    <n v="0"/>
    <n v="0"/>
    <n v="0"/>
    <n v="0"/>
    <x v="0"/>
    <n v="0"/>
    <n v="0"/>
    <m/>
    <n v="61.2"/>
  </r>
  <r>
    <s v="USR-100016"/>
    <d v="2025-03-25T00:00:00"/>
    <x v="0"/>
    <x v="3"/>
    <x v="1"/>
    <x v="4"/>
    <s v="Basic"/>
    <n v="1"/>
    <n v="0"/>
    <n v="0"/>
    <n v="0"/>
    <x v="0"/>
    <n v="0"/>
    <n v="0"/>
    <m/>
    <n v="68.900000000000006"/>
  </r>
  <r>
    <s v="USR-100017"/>
    <d v="2025-03-27T00:00:00"/>
    <x v="0"/>
    <x v="2"/>
    <x v="0"/>
    <x v="2"/>
    <s v="Free"/>
    <n v="1"/>
    <n v="1"/>
    <n v="1"/>
    <n v="0"/>
    <x v="0"/>
    <n v="0"/>
    <n v="0"/>
    <m/>
    <n v="71.900000000000006"/>
  </r>
  <r>
    <s v="USR-100018"/>
    <d v="2025-05-28T00:00:00"/>
    <x v="0"/>
    <x v="3"/>
    <x v="0"/>
    <x v="2"/>
    <s v="Free"/>
    <n v="0"/>
    <n v="0"/>
    <n v="0"/>
    <n v="0"/>
    <x v="0"/>
    <n v="0"/>
    <n v="0"/>
    <m/>
    <n v="50.5"/>
  </r>
  <r>
    <s v="USR-100019"/>
    <d v="2025-02-15T00:00:00"/>
    <x v="0"/>
    <x v="0"/>
    <x v="0"/>
    <x v="2"/>
    <s v="Basic"/>
    <n v="0"/>
    <n v="0"/>
    <n v="0"/>
    <n v="0"/>
    <x v="0"/>
    <n v="0"/>
    <n v="0"/>
    <m/>
    <n v="49.3"/>
  </r>
  <r>
    <s v="USR-100020"/>
    <d v="2025-05-05T00:00:00"/>
    <x v="0"/>
    <x v="1"/>
    <x v="0"/>
    <x v="1"/>
    <s v="Basic"/>
    <n v="0"/>
    <n v="0"/>
    <n v="0"/>
    <n v="0"/>
    <x v="0"/>
    <n v="2"/>
    <n v="0"/>
    <m/>
    <n v="60.9"/>
  </r>
  <r>
    <s v="USR-100021"/>
    <d v="2025-04-13T00:00:00"/>
    <x v="0"/>
    <x v="2"/>
    <x v="1"/>
    <x v="4"/>
    <s v="Free"/>
    <n v="1"/>
    <n v="0"/>
    <n v="0"/>
    <n v="0"/>
    <x v="0"/>
    <n v="0"/>
    <n v="0"/>
    <m/>
    <n v="62.7"/>
  </r>
  <r>
    <s v="USR-100022"/>
    <d v="2025-05-07T00:00:00"/>
    <x v="0"/>
    <x v="0"/>
    <x v="0"/>
    <x v="2"/>
    <s v="Free"/>
    <n v="0"/>
    <n v="0"/>
    <n v="0"/>
    <n v="0"/>
    <x v="0"/>
    <n v="0"/>
    <n v="0"/>
    <m/>
    <n v="52.7"/>
  </r>
  <r>
    <s v="USR-100023"/>
    <d v="2025-05-25T00:00:00"/>
    <x v="0"/>
    <x v="0"/>
    <x v="0"/>
    <x v="1"/>
    <s v="Free"/>
    <n v="0"/>
    <n v="0"/>
    <n v="0"/>
    <n v="0"/>
    <x v="0"/>
    <n v="0"/>
    <n v="0"/>
    <m/>
    <n v="54"/>
  </r>
  <r>
    <s v="USR-100024"/>
    <d v="2025-04-01T00:00:00"/>
    <x v="0"/>
    <x v="2"/>
    <x v="1"/>
    <x v="2"/>
    <s v="Premium"/>
    <n v="1"/>
    <n v="1"/>
    <n v="0"/>
    <n v="0"/>
    <x v="0"/>
    <n v="0"/>
    <n v="0"/>
    <m/>
    <n v="51.6"/>
  </r>
  <r>
    <s v="USR-100025"/>
    <d v="2025-02-22T00:00:00"/>
    <x v="0"/>
    <x v="0"/>
    <x v="1"/>
    <x v="2"/>
    <s v="Premium"/>
    <n v="0"/>
    <n v="0"/>
    <n v="0"/>
    <n v="0"/>
    <x v="0"/>
    <n v="2"/>
    <n v="0"/>
    <m/>
    <n v="66.900000000000006"/>
  </r>
  <r>
    <s v="USR-100026"/>
    <d v="2025-03-24T00:00:00"/>
    <x v="0"/>
    <x v="2"/>
    <x v="1"/>
    <x v="1"/>
    <s v="Basic"/>
    <n v="0"/>
    <n v="0"/>
    <n v="0"/>
    <n v="0"/>
    <x v="0"/>
    <n v="0"/>
    <n v="0"/>
    <m/>
    <n v="67.400000000000006"/>
  </r>
  <r>
    <s v="USR-100027"/>
    <d v="2025-02-13T00:00:00"/>
    <x v="0"/>
    <x v="0"/>
    <x v="1"/>
    <x v="1"/>
    <s v="Free"/>
    <n v="0"/>
    <n v="0"/>
    <n v="0"/>
    <n v="0"/>
    <x v="0"/>
    <n v="0"/>
    <n v="0"/>
    <m/>
    <n v="58.8"/>
  </r>
  <r>
    <s v="USR-100028"/>
    <d v="2025-05-30T00:00:00"/>
    <x v="0"/>
    <x v="3"/>
    <x v="1"/>
    <x v="1"/>
    <s v="Free"/>
    <n v="1"/>
    <n v="0"/>
    <n v="0"/>
    <n v="0"/>
    <x v="0"/>
    <n v="0"/>
    <n v="0"/>
    <m/>
    <n v="73.8"/>
  </r>
  <r>
    <s v="USR-100029"/>
    <d v="2025-01-20T00:00:00"/>
    <x v="0"/>
    <x v="2"/>
    <x v="2"/>
    <x v="1"/>
    <s v="Basic"/>
    <n v="0"/>
    <n v="0"/>
    <n v="0"/>
    <n v="0"/>
    <x v="0"/>
    <n v="0"/>
    <n v="0"/>
    <m/>
    <n v="60.1"/>
  </r>
  <r>
    <s v="USR-100030"/>
    <d v="2025-05-19T00:00:00"/>
    <x v="0"/>
    <x v="2"/>
    <x v="1"/>
    <x v="4"/>
    <s v="Basic"/>
    <n v="1"/>
    <n v="1"/>
    <n v="1"/>
    <n v="0"/>
    <x v="0"/>
    <n v="0"/>
    <n v="0"/>
    <m/>
    <n v="41"/>
  </r>
  <r>
    <s v="USR-100031"/>
    <d v="2025-02-18T00:00:00"/>
    <x v="0"/>
    <x v="3"/>
    <x v="1"/>
    <x v="1"/>
    <s v="Basic"/>
    <n v="1"/>
    <n v="0"/>
    <n v="0"/>
    <n v="0"/>
    <x v="0"/>
    <n v="0"/>
    <n v="0"/>
    <m/>
    <n v="80.3"/>
  </r>
  <r>
    <s v="USR-100032"/>
    <d v="2025-02-13T00:00:00"/>
    <x v="0"/>
    <x v="2"/>
    <x v="1"/>
    <x v="1"/>
    <s v="Free"/>
    <n v="0"/>
    <n v="0"/>
    <n v="0"/>
    <n v="0"/>
    <x v="0"/>
    <n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x v="0"/>
    <n v="0"/>
    <n v="0"/>
    <m/>
    <n v="64"/>
  </r>
  <r>
    <s v="USR-100034"/>
    <d v="2025-01-11T00:00:00"/>
    <x v="0"/>
    <x v="0"/>
    <x v="1"/>
    <x v="2"/>
    <s v="Free"/>
    <n v="1"/>
    <n v="1"/>
    <n v="0"/>
    <n v="0"/>
    <x v="0"/>
    <n v="0"/>
    <n v="0"/>
    <m/>
    <n v="27.2"/>
  </r>
  <r>
    <s v="USR-100035"/>
    <d v="2025-02-12T00:00:00"/>
    <x v="0"/>
    <x v="0"/>
    <x v="0"/>
    <x v="1"/>
    <s v="Free"/>
    <n v="1"/>
    <n v="0"/>
    <n v="0"/>
    <n v="0"/>
    <x v="0"/>
    <n v="0"/>
    <n v="0"/>
    <m/>
    <n v="85.4"/>
  </r>
  <r>
    <s v="USR-100036"/>
    <d v="2025-04-13T00:00:00"/>
    <x v="0"/>
    <x v="2"/>
    <x v="0"/>
    <x v="1"/>
    <s v="Basic"/>
    <n v="1"/>
    <n v="0"/>
    <n v="0"/>
    <n v="0"/>
    <x v="0"/>
    <n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x v="0"/>
    <n v="1"/>
    <n v="0"/>
    <m/>
    <n v="34.799999999999997"/>
  </r>
  <r>
    <s v="USR-100038"/>
    <d v="2025-01-20T00:00:00"/>
    <x v="0"/>
    <x v="2"/>
    <x v="1"/>
    <x v="1"/>
    <s v="Free"/>
    <n v="1"/>
    <n v="1"/>
    <n v="1"/>
    <n v="0"/>
    <x v="0"/>
    <n v="3"/>
    <n v="0"/>
    <m/>
    <n v="48.9"/>
  </r>
  <r>
    <s v="USR-100039"/>
    <d v="2025-05-13T00:00:00"/>
    <x v="0"/>
    <x v="2"/>
    <x v="1"/>
    <x v="0"/>
    <s v="Premium"/>
    <n v="1"/>
    <n v="0"/>
    <n v="0"/>
    <n v="0"/>
    <x v="0"/>
    <n v="0"/>
    <n v="0"/>
    <m/>
    <n v="41.5"/>
  </r>
  <r>
    <s v="USR-100040"/>
    <d v="2025-04-07T00:00:00"/>
    <x v="0"/>
    <x v="0"/>
    <x v="0"/>
    <x v="1"/>
    <s v="Basic"/>
    <n v="1"/>
    <n v="0"/>
    <n v="0"/>
    <n v="0"/>
    <x v="0"/>
    <n v="0"/>
    <n v="0"/>
    <m/>
    <n v="51.5"/>
  </r>
  <r>
    <s v="USR-100041"/>
    <d v="2025-03-31T00:00:00"/>
    <x v="0"/>
    <x v="0"/>
    <x v="0"/>
    <x v="1"/>
    <s v="Free"/>
    <n v="0"/>
    <n v="0"/>
    <n v="0"/>
    <n v="0"/>
    <x v="0"/>
    <n v="0"/>
    <n v="0"/>
    <m/>
    <n v="53.2"/>
  </r>
  <r>
    <s v="USR-100042"/>
    <d v="2025-01-25T00:00:00"/>
    <x v="0"/>
    <x v="2"/>
    <x v="1"/>
    <x v="0"/>
    <s v="Premium"/>
    <n v="0"/>
    <n v="0"/>
    <n v="0"/>
    <n v="0"/>
    <x v="0"/>
    <n v="0"/>
    <n v="0"/>
    <m/>
    <n v="55.6"/>
  </r>
  <r>
    <s v="USR-100043"/>
    <d v="2025-02-14T00:00:00"/>
    <x v="0"/>
    <x v="3"/>
    <x v="0"/>
    <x v="1"/>
    <s v="Free"/>
    <n v="0"/>
    <n v="0"/>
    <n v="0"/>
    <n v="0"/>
    <x v="0"/>
    <n v="0"/>
    <n v="0"/>
    <m/>
    <n v="73"/>
  </r>
  <r>
    <s v="USR-100044"/>
    <d v="2025-02-27T00:00:00"/>
    <x v="0"/>
    <x v="2"/>
    <x v="1"/>
    <x v="0"/>
    <s v="Free"/>
    <n v="1"/>
    <n v="0"/>
    <n v="0"/>
    <n v="0"/>
    <x v="0"/>
    <n v="0"/>
    <n v="0"/>
    <m/>
    <n v="65"/>
  </r>
  <r>
    <s v="USR-100045"/>
    <d v="2025-03-28T00:00:00"/>
    <x v="0"/>
    <x v="2"/>
    <x v="1"/>
    <x v="4"/>
    <s v="Free"/>
    <n v="1"/>
    <n v="0"/>
    <n v="0"/>
    <n v="0"/>
    <x v="0"/>
    <n v="4"/>
    <n v="0"/>
    <m/>
    <n v="56.3"/>
  </r>
  <r>
    <s v="USR-100046"/>
    <d v="2025-05-25T00:00:00"/>
    <x v="0"/>
    <x v="2"/>
    <x v="1"/>
    <x v="3"/>
    <s v="Premium"/>
    <n v="1"/>
    <n v="0"/>
    <n v="0"/>
    <n v="0"/>
    <x v="0"/>
    <n v="0"/>
    <n v="0"/>
    <m/>
    <n v="62.4"/>
  </r>
  <r>
    <s v="USR-100047"/>
    <d v="2025-05-05T00:00:00"/>
    <x v="0"/>
    <x v="1"/>
    <x v="0"/>
    <x v="1"/>
    <s v="Free"/>
    <n v="1"/>
    <n v="1"/>
    <n v="1"/>
    <n v="0"/>
    <x v="0"/>
    <n v="0"/>
    <n v="0"/>
    <m/>
    <n v="58.1"/>
  </r>
  <r>
    <s v="USR-100048"/>
    <d v="2025-05-16T00:00:00"/>
    <x v="0"/>
    <x v="0"/>
    <x v="1"/>
    <x v="1"/>
    <s v="Free"/>
    <n v="1"/>
    <n v="1"/>
    <n v="1"/>
    <n v="0"/>
    <x v="0"/>
    <n v="0"/>
    <n v="0"/>
    <m/>
    <n v="80.8"/>
  </r>
  <r>
    <s v="USR-100049"/>
    <d v="2025-01-08T00:00:00"/>
    <x v="0"/>
    <x v="0"/>
    <x v="1"/>
    <x v="4"/>
    <s v="Free"/>
    <n v="1"/>
    <n v="1"/>
    <n v="0"/>
    <n v="0"/>
    <x v="0"/>
    <n v="0"/>
    <n v="0"/>
    <m/>
    <n v="42.9"/>
  </r>
  <r>
    <s v="USR-100050"/>
    <d v="2025-01-06T00:00:00"/>
    <x v="0"/>
    <x v="1"/>
    <x v="0"/>
    <x v="2"/>
    <s v="Free"/>
    <n v="1"/>
    <n v="0"/>
    <n v="0"/>
    <n v="0"/>
    <x v="0"/>
    <n v="0"/>
    <n v="0"/>
    <m/>
    <n v="52.7"/>
  </r>
  <r>
    <s v="USR-100051"/>
    <d v="2025-01-12T00:00:00"/>
    <x v="0"/>
    <x v="0"/>
    <x v="1"/>
    <x v="4"/>
    <s v="Basic"/>
    <n v="0"/>
    <n v="0"/>
    <n v="0"/>
    <n v="0"/>
    <x v="0"/>
    <n v="0"/>
    <n v="0"/>
    <m/>
    <n v="46.9"/>
  </r>
  <r>
    <s v="USR-100052"/>
    <d v="2025-02-14T00:00:00"/>
    <x v="0"/>
    <x v="2"/>
    <x v="0"/>
    <x v="0"/>
    <s v="Premium"/>
    <n v="1"/>
    <n v="0"/>
    <n v="0"/>
    <n v="0"/>
    <x v="0"/>
    <n v="0"/>
    <n v="0"/>
    <m/>
    <n v="63"/>
  </r>
  <r>
    <s v="USR-100053"/>
    <d v="2025-03-10T00:00:00"/>
    <x v="0"/>
    <x v="3"/>
    <x v="2"/>
    <x v="1"/>
    <s v="Free"/>
    <n v="0"/>
    <n v="0"/>
    <n v="0"/>
    <n v="0"/>
    <x v="0"/>
    <n v="0"/>
    <n v="0"/>
    <m/>
    <n v="53.6"/>
  </r>
  <r>
    <s v="USR-100054"/>
    <d v="2025-04-20T00:00:00"/>
    <x v="0"/>
    <x v="1"/>
    <x v="0"/>
    <x v="1"/>
    <s v="Basic"/>
    <n v="0"/>
    <n v="0"/>
    <n v="0"/>
    <n v="0"/>
    <x v="0"/>
    <n v="0"/>
    <n v="0"/>
    <m/>
    <n v="49.6"/>
  </r>
  <r>
    <s v="USR-100055"/>
    <d v="2025-02-19T00:00:00"/>
    <x v="0"/>
    <x v="3"/>
    <x v="1"/>
    <x v="1"/>
    <s v="Free"/>
    <n v="0"/>
    <n v="0"/>
    <n v="0"/>
    <n v="0"/>
    <x v="0"/>
    <n v="0"/>
    <n v="0"/>
    <m/>
    <n v="54"/>
  </r>
  <r>
    <s v="USR-100056"/>
    <d v="2025-05-17T00:00:00"/>
    <x v="0"/>
    <x v="3"/>
    <x v="1"/>
    <x v="4"/>
    <s v="Basic"/>
    <n v="1"/>
    <n v="0"/>
    <n v="0"/>
    <n v="0"/>
    <x v="0"/>
    <n v="2"/>
    <n v="0"/>
    <m/>
    <n v="50"/>
  </r>
  <r>
    <s v="USR-100057"/>
    <d v="2025-04-01T00:00:00"/>
    <x v="0"/>
    <x v="2"/>
    <x v="1"/>
    <x v="4"/>
    <s v="Basic"/>
    <n v="0"/>
    <n v="0"/>
    <n v="0"/>
    <n v="0"/>
    <x v="0"/>
    <n v="0"/>
    <n v="0"/>
    <m/>
    <n v="48.1"/>
  </r>
  <r>
    <s v="USR-100058"/>
    <d v="2025-02-04T00:00:00"/>
    <x v="0"/>
    <x v="0"/>
    <x v="0"/>
    <x v="1"/>
    <s v="Free"/>
    <n v="1"/>
    <n v="0"/>
    <n v="0"/>
    <n v="0"/>
    <x v="0"/>
    <n v="0"/>
    <n v="0"/>
    <m/>
    <n v="49.6"/>
  </r>
  <r>
    <s v="USR-100059"/>
    <d v="2025-04-14T00:00:00"/>
    <x v="0"/>
    <x v="0"/>
    <x v="1"/>
    <x v="4"/>
    <s v="Free"/>
    <n v="0"/>
    <n v="0"/>
    <n v="0"/>
    <n v="0"/>
    <x v="0"/>
    <n v="2"/>
    <n v="0"/>
    <m/>
    <n v="48.9"/>
  </r>
  <r>
    <s v="USR-100060"/>
    <d v="2025-01-01T00:00:00"/>
    <x v="0"/>
    <x v="1"/>
    <x v="1"/>
    <x v="4"/>
    <s v="Free"/>
    <n v="1"/>
    <n v="1"/>
    <n v="1"/>
    <n v="1"/>
    <x v="1"/>
    <n v="0"/>
    <n v="0"/>
    <n v="16"/>
    <n v="56.5"/>
  </r>
  <r>
    <s v="USR-100061"/>
    <d v="2025-04-02T00:00:00"/>
    <x v="0"/>
    <x v="3"/>
    <x v="1"/>
    <x v="3"/>
    <s v="Free"/>
    <n v="1"/>
    <n v="0"/>
    <n v="0"/>
    <n v="0"/>
    <x v="0"/>
    <n v="0"/>
    <n v="0"/>
    <m/>
    <n v="53.7"/>
  </r>
  <r>
    <s v="USR-100062"/>
    <d v="2025-03-29T00:00:00"/>
    <x v="0"/>
    <x v="0"/>
    <x v="1"/>
    <x v="4"/>
    <s v="Premium"/>
    <n v="0"/>
    <n v="0"/>
    <n v="0"/>
    <n v="0"/>
    <x v="0"/>
    <n v="0"/>
    <n v="0"/>
    <m/>
    <n v="62.2"/>
  </r>
  <r>
    <s v="USR-100063"/>
    <d v="2025-05-15T00:00:00"/>
    <x v="0"/>
    <x v="3"/>
    <x v="0"/>
    <x v="1"/>
    <s v="Free"/>
    <n v="1"/>
    <n v="0"/>
    <n v="0"/>
    <n v="0"/>
    <x v="0"/>
    <n v="0"/>
    <n v="0"/>
    <m/>
    <n v="50.2"/>
  </r>
  <r>
    <s v="USR-100064"/>
    <d v="2025-04-11T00:00:00"/>
    <x v="0"/>
    <x v="0"/>
    <x v="1"/>
    <x v="1"/>
    <s v="Basic"/>
    <n v="1"/>
    <n v="0"/>
    <n v="0"/>
    <n v="0"/>
    <x v="0"/>
    <n v="0"/>
    <n v="0"/>
    <m/>
    <n v="74.3"/>
  </r>
  <r>
    <s v="USR-100065"/>
    <d v="2025-03-07T00:00:00"/>
    <x v="0"/>
    <x v="3"/>
    <x v="0"/>
    <x v="2"/>
    <s v="Free"/>
    <n v="1"/>
    <n v="0"/>
    <n v="0"/>
    <n v="0"/>
    <x v="0"/>
    <n v="0"/>
    <n v="0"/>
    <m/>
    <n v="58"/>
  </r>
  <r>
    <s v="USR-100066"/>
    <d v="2025-05-30T00:00:00"/>
    <x v="0"/>
    <x v="3"/>
    <x v="1"/>
    <x v="1"/>
    <s v="Free"/>
    <n v="0"/>
    <n v="0"/>
    <n v="0"/>
    <n v="0"/>
    <x v="0"/>
    <n v="0"/>
    <n v="0"/>
    <m/>
    <n v="46.7"/>
  </r>
  <r>
    <s v="USR-100067"/>
    <d v="2025-01-07T00:00:00"/>
    <x v="0"/>
    <x v="3"/>
    <x v="0"/>
    <x v="1"/>
    <s v="Premium"/>
    <n v="1"/>
    <n v="0"/>
    <n v="0"/>
    <n v="0"/>
    <x v="0"/>
    <n v="1"/>
    <n v="0"/>
    <m/>
    <n v="49.6"/>
  </r>
  <r>
    <s v="USR-100068"/>
    <d v="2025-05-08T00:00:00"/>
    <x v="0"/>
    <x v="1"/>
    <x v="1"/>
    <x v="4"/>
    <s v="Free"/>
    <n v="0"/>
    <n v="0"/>
    <n v="0"/>
    <n v="0"/>
    <x v="0"/>
    <n v="0"/>
    <n v="0"/>
    <m/>
    <n v="60.4"/>
  </r>
  <r>
    <s v="USR-100069"/>
    <d v="2025-03-19T00:00:00"/>
    <x v="0"/>
    <x v="2"/>
    <x v="0"/>
    <x v="0"/>
    <s v="Free"/>
    <n v="1"/>
    <n v="1"/>
    <n v="1"/>
    <n v="0"/>
    <x v="0"/>
    <n v="0"/>
    <n v="0"/>
    <m/>
    <n v="55.3"/>
  </r>
  <r>
    <s v="USR-100070"/>
    <d v="2025-05-16T00:00:00"/>
    <x v="0"/>
    <x v="0"/>
    <x v="0"/>
    <x v="1"/>
    <s v="Free"/>
    <n v="0"/>
    <n v="0"/>
    <n v="0"/>
    <n v="0"/>
    <x v="0"/>
    <n v="0"/>
    <n v="0"/>
    <m/>
    <n v="56.2"/>
  </r>
  <r>
    <s v="USR-100071"/>
    <d v="2025-03-08T00:00:00"/>
    <x v="0"/>
    <x v="1"/>
    <x v="1"/>
    <x v="0"/>
    <s v="Free"/>
    <n v="0"/>
    <n v="0"/>
    <n v="0"/>
    <n v="0"/>
    <x v="0"/>
    <n v="0"/>
    <n v="0"/>
    <m/>
    <n v="29.4"/>
  </r>
  <r>
    <s v="USR-100072"/>
    <d v="2025-03-08T00:00:00"/>
    <x v="0"/>
    <x v="2"/>
    <x v="1"/>
    <x v="0"/>
    <s v="Free"/>
    <n v="1"/>
    <n v="0"/>
    <n v="0"/>
    <n v="0"/>
    <x v="0"/>
    <n v="0"/>
    <n v="0"/>
    <m/>
    <n v="54.2"/>
  </r>
  <r>
    <s v="USR-100073"/>
    <d v="2025-01-14T00:00:00"/>
    <x v="0"/>
    <x v="2"/>
    <x v="0"/>
    <x v="2"/>
    <s v="Basic"/>
    <n v="0"/>
    <n v="0"/>
    <n v="0"/>
    <n v="0"/>
    <x v="0"/>
    <n v="0"/>
    <n v="0"/>
    <m/>
    <n v="46.4"/>
  </r>
  <r>
    <s v="USR-100074"/>
    <d v="2025-02-10T00:00:00"/>
    <x v="0"/>
    <x v="3"/>
    <x v="1"/>
    <x v="2"/>
    <s v="Basic"/>
    <n v="0"/>
    <n v="0"/>
    <n v="0"/>
    <n v="0"/>
    <x v="0"/>
    <n v="0"/>
    <n v="0"/>
    <m/>
    <n v="54.5"/>
  </r>
  <r>
    <s v="USR-100075"/>
    <d v="2025-03-17T00:00:00"/>
    <x v="0"/>
    <x v="0"/>
    <x v="1"/>
    <x v="1"/>
    <s v="Free"/>
    <n v="0"/>
    <n v="0"/>
    <n v="0"/>
    <n v="0"/>
    <x v="0"/>
    <n v="0"/>
    <n v="0"/>
    <m/>
    <n v="58.5"/>
  </r>
  <r>
    <s v="USR-100076"/>
    <d v="2025-01-09T00:00:00"/>
    <x v="0"/>
    <x v="3"/>
    <x v="1"/>
    <x v="0"/>
    <s v="Free"/>
    <n v="0"/>
    <n v="0"/>
    <n v="0"/>
    <n v="0"/>
    <x v="0"/>
    <n v="0"/>
    <n v="0"/>
    <m/>
    <n v="75.900000000000006"/>
  </r>
  <r>
    <s v="USR-100077"/>
    <d v="2025-04-17T00:00:00"/>
    <x v="0"/>
    <x v="0"/>
    <x v="1"/>
    <x v="3"/>
    <s v="Free"/>
    <n v="0"/>
    <n v="0"/>
    <n v="0"/>
    <n v="0"/>
    <x v="0"/>
    <n v="1"/>
    <n v="0"/>
    <m/>
    <n v="84.9"/>
  </r>
  <r>
    <s v="USR-100078"/>
    <d v="2025-01-16T00:00:00"/>
    <x v="0"/>
    <x v="0"/>
    <x v="1"/>
    <x v="1"/>
    <s v="Free"/>
    <n v="0"/>
    <n v="0"/>
    <n v="0"/>
    <n v="0"/>
    <x v="0"/>
    <n v="2"/>
    <n v="0"/>
    <m/>
    <n v="48.4"/>
  </r>
  <r>
    <s v="USR-100079"/>
    <d v="2025-02-20T00:00:00"/>
    <x v="0"/>
    <x v="1"/>
    <x v="0"/>
    <x v="1"/>
    <s v="Free"/>
    <n v="1"/>
    <n v="1"/>
    <n v="1"/>
    <n v="1"/>
    <x v="2"/>
    <n v="0"/>
    <n v="0"/>
    <n v="7"/>
    <n v="38"/>
  </r>
  <r>
    <s v="USR-100080"/>
    <d v="2025-05-21T00:00:00"/>
    <x v="0"/>
    <x v="2"/>
    <x v="1"/>
    <x v="4"/>
    <s v="Free"/>
    <n v="1"/>
    <n v="0"/>
    <n v="0"/>
    <n v="0"/>
    <x v="0"/>
    <n v="0"/>
    <n v="0"/>
    <m/>
    <n v="44.2"/>
  </r>
  <r>
    <s v="USR-100081"/>
    <d v="2025-05-08T00:00:00"/>
    <x v="0"/>
    <x v="3"/>
    <x v="1"/>
    <x v="1"/>
    <s v="Free"/>
    <n v="1"/>
    <n v="1"/>
    <n v="1"/>
    <n v="0"/>
    <x v="0"/>
    <n v="0"/>
    <n v="0"/>
    <m/>
    <n v="81.2"/>
  </r>
  <r>
    <s v="USR-100082"/>
    <d v="2025-03-08T00:00:00"/>
    <x v="0"/>
    <x v="3"/>
    <x v="1"/>
    <x v="3"/>
    <s v="Free"/>
    <n v="1"/>
    <n v="1"/>
    <n v="0"/>
    <n v="0"/>
    <x v="0"/>
    <n v="0"/>
    <n v="0"/>
    <m/>
    <n v="63.8"/>
  </r>
  <r>
    <s v="USR-100083"/>
    <d v="2025-04-01T00:00:00"/>
    <x v="0"/>
    <x v="3"/>
    <x v="0"/>
    <x v="0"/>
    <s v="Free"/>
    <n v="0"/>
    <n v="0"/>
    <n v="0"/>
    <n v="0"/>
    <x v="0"/>
    <n v="0"/>
    <n v="0"/>
    <m/>
    <n v="64.7"/>
  </r>
  <r>
    <s v="USR-100084"/>
    <d v="2025-03-03T00:00:00"/>
    <x v="0"/>
    <x v="1"/>
    <x v="1"/>
    <x v="4"/>
    <s v="Basic"/>
    <n v="0"/>
    <n v="0"/>
    <n v="0"/>
    <n v="0"/>
    <x v="0"/>
    <n v="0"/>
    <n v="0"/>
    <m/>
    <n v="60.4"/>
  </r>
  <r>
    <s v="USR-100085"/>
    <d v="2025-04-16T00:00:00"/>
    <x v="0"/>
    <x v="3"/>
    <x v="1"/>
    <x v="2"/>
    <s v="Free"/>
    <n v="0"/>
    <n v="0"/>
    <n v="0"/>
    <n v="0"/>
    <x v="0"/>
    <n v="0"/>
    <n v="0"/>
    <m/>
    <n v="66.599999999999994"/>
  </r>
  <r>
    <s v="USR-100086"/>
    <d v="2025-01-09T00:00:00"/>
    <x v="0"/>
    <x v="0"/>
    <x v="0"/>
    <x v="1"/>
    <s v="Free"/>
    <n v="1"/>
    <n v="0"/>
    <n v="0"/>
    <n v="0"/>
    <x v="0"/>
    <n v="0"/>
    <n v="0"/>
    <m/>
    <n v="50.9"/>
  </r>
  <r>
    <s v="USR-100087"/>
    <d v="2025-01-22T00:00:00"/>
    <x v="0"/>
    <x v="1"/>
    <x v="0"/>
    <x v="4"/>
    <s v="Basic"/>
    <n v="0"/>
    <n v="0"/>
    <n v="0"/>
    <n v="0"/>
    <x v="0"/>
    <n v="0"/>
    <n v="0"/>
    <m/>
    <n v="51"/>
  </r>
  <r>
    <s v="USR-100088"/>
    <d v="2025-04-30T00:00:00"/>
    <x v="0"/>
    <x v="3"/>
    <x v="1"/>
    <x v="0"/>
    <s v="Premium"/>
    <n v="0"/>
    <n v="0"/>
    <n v="0"/>
    <n v="0"/>
    <x v="0"/>
    <n v="0"/>
    <n v="0"/>
    <m/>
    <n v="65.8"/>
  </r>
  <r>
    <s v="USR-100089"/>
    <d v="2025-04-25T00:00:00"/>
    <x v="0"/>
    <x v="0"/>
    <x v="1"/>
    <x v="3"/>
    <s v="Basic"/>
    <n v="1"/>
    <n v="0"/>
    <n v="0"/>
    <n v="0"/>
    <x v="0"/>
    <n v="0"/>
    <n v="0"/>
    <m/>
    <n v="61.8"/>
  </r>
  <r>
    <s v="USR-100090"/>
    <d v="2025-02-01T00:00:00"/>
    <x v="0"/>
    <x v="0"/>
    <x v="1"/>
    <x v="1"/>
    <s v="Basic"/>
    <n v="1"/>
    <n v="0"/>
    <n v="0"/>
    <n v="0"/>
    <x v="0"/>
    <n v="0"/>
    <n v="0"/>
    <m/>
    <n v="54.5"/>
  </r>
  <r>
    <s v="USR-100091"/>
    <d v="2025-04-23T00:00:00"/>
    <x v="0"/>
    <x v="3"/>
    <x v="0"/>
    <x v="1"/>
    <s v="Free"/>
    <n v="1"/>
    <n v="0"/>
    <n v="0"/>
    <n v="0"/>
    <x v="0"/>
    <n v="0"/>
    <n v="0"/>
    <m/>
    <n v="72.2"/>
  </r>
  <r>
    <s v="USR-100092"/>
    <d v="2025-02-27T00:00:00"/>
    <x v="0"/>
    <x v="3"/>
    <x v="1"/>
    <x v="4"/>
    <s v="Free"/>
    <n v="1"/>
    <n v="0"/>
    <n v="0"/>
    <n v="0"/>
    <x v="0"/>
    <n v="0"/>
    <n v="0"/>
    <m/>
    <n v="42.3"/>
  </r>
  <r>
    <s v="USR-100093"/>
    <d v="2025-04-09T00:00:00"/>
    <x v="0"/>
    <x v="2"/>
    <x v="0"/>
    <x v="1"/>
    <s v="Basic"/>
    <n v="1"/>
    <n v="0"/>
    <n v="0"/>
    <n v="0"/>
    <x v="0"/>
    <n v="0"/>
    <n v="0"/>
    <m/>
    <n v="76.2"/>
  </r>
  <r>
    <s v="USR-100094"/>
    <d v="2025-05-13T00:00:00"/>
    <x v="0"/>
    <x v="3"/>
    <x v="2"/>
    <x v="1"/>
    <s v="Premium"/>
    <n v="1"/>
    <n v="1"/>
    <n v="1"/>
    <n v="0"/>
    <x v="0"/>
    <n v="1"/>
    <n v="0"/>
    <m/>
    <n v="37.4"/>
  </r>
  <r>
    <s v="USR-100095"/>
    <d v="2025-04-13T00:00:00"/>
    <x v="0"/>
    <x v="2"/>
    <x v="1"/>
    <x v="1"/>
    <s v="Free"/>
    <n v="0"/>
    <n v="0"/>
    <n v="0"/>
    <n v="0"/>
    <x v="0"/>
    <n v="0"/>
    <n v="0"/>
    <m/>
    <n v="84.2"/>
  </r>
  <r>
    <s v="USR-100096"/>
    <d v="2025-02-05T00:00:00"/>
    <x v="0"/>
    <x v="2"/>
    <x v="1"/>
    <x v="4"/>
    <s v="Free"/>
    <n v="0"/>
    <n v="0"/>
    <n v="0"/>
    <n v="0"/>
    <x v="0"/>
    <n v="0"/>
    <n v="0"/>
    <m/>
    <n v="68"/>
  </r>
  <r>
    <s v="USR-100097"/>
    <d v="2025-02-14T00:00:00"/>
    <x v="0"/>
    <x v="1"/>
    <x v="1"/>
    <x v="1"/>
    <s v="Basic"/>
    <n v="1"/>
    <n v="0"/>
    <n v="0"/>
    <n v="0"/>
    <x v="0"/>
    <n v="0"/>
    <n v="0"/>
    <m/>
    <n v="53.5"/>
  </r>
  <r>
    <s v="USR-100098"/>
    <d v="2025-02-11T00:00:00"/>
    <x v="0"/>
    <x v="0"/>
    <x v="0"/>
    <x v="1"/>
    <s v="Premium"/>
    <n v="1"/>
    <n v="0"/>
    <n v="0"/>
    <n v="0"/>
    <x v="0"/>
    <n v="0"/>
    <n v="0"/>
    <m/>
    <n v="63.2"/>
  </r>
  <r>
    <s v="USR-100099"/>
    <d v="2025-02-11T00:00:00"/>
    <x v="0"/>
    <x v="2"/>
    <x v="0"/>
    <x v="4"/>
    <s v="Free"/>
    <n v="1"/>
    <n v="1"/>
    <n v="1"/>
    <n v="1"/>
    <x v="3"/>
    <n v="0"/>
    <n v="0"/>
    <n v="9"/>
    <n v="55.9"/>
  </r>
  <r>
    <s v="USR-100100"/>
    <d v="2025-05-26T00:00:00"/>
    <x v="0"/>
    <x v="0"/>
    <x v="1"/>
    <x v="1"/>
    <s v="Free"/>
    <n v="1"/>
    <n v="0"/>
    <n v="0"/>
    <n v="0"/>
    <x v="0"/>
    <n v="0"/>
    <n v="0"/>
    <m/>
    <n v="63.5"/>
  </r>
  <r>
    <s v="USR-100101"/>
    <d v="2025-03-22T00:00:00"/>
    <x v="0"/>
    <x v="0"/>
    <x v="1"/>
    <x v="2"/>
    <s v="Basic"/>
    <n v="1"/>
    <n v="0"/>
    <n v="0"/>
    <n v="0"/>
    <x v="0"/>
    <n v="0"/>
    <n v="0"/>
    <m/>
    <n v="51.5"/>
  </r>
  <r>
    <s v="USR-100102"/>
    <d v="2025-04-08T00:00:00"/>
    <x v="0"/>
    <x v="1"/>
    <x v="1"/>
    <x v="2"/>
    <s v="Free"/>
    <n v="1"/>
    <n v="0"/>
    <n v="0"/>
    <n v="0"/>
    <x v="0"/>
    <n v="0"/>
    <n v="0"/>
    <m/>
    <n v="74.400000000000006"/>
  </r>
  <r>
    <s v="USR-100103"/>
    <d v="2025-04-14T00:00:00"/>
    <x v="0"/>
    <x v="0"/>
    <x v="0"/>
    <x v="4"/>
    <s v="Free"/>
    <n v="1"/>
    <n v="1"/>
    <n v="1"/>
    <n v="1"/>
    <x v="4"/>
    <n v="0"/>
    <n v="0"/>
    <n v="13"/>
    <n v="60.2"/>
  </r>
  <r>
    <s v="USR-100104"/>
    <d v="2025-03-27T00:00:00"/>
    <x v="0"/>
    <x v="3"/>
    <x v="1"/>
    <x v="0"/>
    <s v="Free"/>
    <n v="1"/>
    <n v="0"/>
    <n v="0"/>
    <n v="0"/>
    <x v="0"/>
    <n v="1"/>
    <n v="0"/>
    <m/>
    <n v="67.2"/>
  </r>
  <r>
    <s v="USR-100105"/>
    <d v="2025-01-05T00:00:00"/>
    <x v="0"/>
    <x v="3"/>
    <x v="1"/>
    <x v="4"/>
    <s v="Free"/>
    <n v="1"/>
    <n v="1"/>
    <n v="1"/>
    <n v="0"/>
    <x v="0"/>
    <n v="0"/>
    <n v="0"/>
    <m/>
    <n v="79.599999999999994"/>
  </r>
  <r>
    <s v="USR-100106"/>
    <d v="2025-01-25T00:00:00"/>
    <x v="0"/>
    <x v="3"/>
    <x v="1"/>
    <x v="4"/>
    <s v="Basic"/>
    <n v="1"/>
    <n v="1"/>
    <n v="1"/>
    <n v="1"/>
    <x v="5"/>
    <n v="0"/>
    <n v="0"/>
    <n v="6"/>
    <n v="61"/>
  </r>
  <r>
    <s v="USR-100107"/>
    <d v="2025-01-23T00:00:00"/>
    <x v="0"/>
    <x v="1"/>
    <x v="1"/>
    <x v="0"/>
    <s v="Free"/>
    <n v="1"/>
    <n v="1"/>
    <n v="1"/>
    <n v="0"/>
    <x v="0"/>
    <n v="4"/>
    <n v="0"/>
    <m/>
    <n v="51.1"/>
  </r>
  <r>
    <s v="USR-100108"/>
    <d v="2025-05-25T00:00:00"/>
    <x v="0"/>
    <x v="2"/>
    <x v="0"/>
    <x v="3"/>
    <s v="Free"/>
    <n v="1"/>
    <n v="0"/>
    <n v="0"/>
    <n v="0"/>
    <x v="0"/>
    <n v="0"/>
    <n v="0"/>
    <m/>
    <n v="92.1"/>
  </r>
  <r>
    <s v="USR-100109"/>
    <d v="2025-03-22T00:00:00"/>
    <x v="0"/>
    <x v="3"/>
    <x v="1"/>
    <x v="3"/>
    <s v="Basic"/>
    <n v="0"/>
    <n v="0"/>
    <n v="0"/>
    <n v="0"/>
    <x v="0"/>
    <n v="0"/>
    <n v="0"/>
    <m/>
    <n v="82.1"/>
  </r>
  <r>
    <s v="USR-100110"/>
    <d v="2025-02-12T00:00:00"/>
    <x v="0"/>
    <x v="1"/>
    <x v="0"/>
    <x v="2"/>
    <s v="Basic"/>
    <n v="1"/>
    <n v="0"/>
    <n v="0"/>
    <n v="0"/>
    <x v="0"/>
    <n v="1"/>
    <n v="0"/>
    <m/>
    <n v="74"/>
  </r>
  <r>
    <s v="USR-100111"/>
    <d v="2025-04-28T00:00:00"/>
    <x v="0"/>
    <x v="1"/>
    <x v="0"/>
    <x v="1"/>
    <s v="Basic"/>
    <n v="1"/>
    <n v="0"/>
    <n v="0"/>
    <n v="0"/>
    <x v="0"/>
    <n v="0"/>
    <n v="0"/>
    <m/>
    <n v="63.4"/>
  </r>
  <r>
    <s v="USR-100112"/>
    <d v="2025-01-30T00:00:00"/>
    <x v="0"/>
    <x v="0"/>
    <x v="1"/>
    <x v="1"/>
    <s v="Basic"/>
    <n v="1"/>
    <n v="0"/>
    <n v="0"/>
    <n v="0"/>
    <x v="0"/>
    <n v="0"/>
    <n v="0"/>
    <m/>
    <n v="53.2"/>
  </r>
  <r>
    <s v="USR-100113"/>
    <d v="2025-05-19T00:00:00"/>
    <x v="0"/>
    <x v="2"/>
    <x v="2"/>
    <x v="2"/>
    <s v="Free"/>
    <n v="0"/>
    <n v="0"/>
    <n v="0"/>
    <n v="0"/>
    <x v="0"/>
    <n v="0"/>
    <n v="0"/>
    <m/>
    <n v="48.1"/>
  </r>
  <r>
    <s v="USR-100114"/>
    <d v="2025-01-23T00:00:00"/>
    <x v="0"/>
    <x v="3"/>
    <x v="1"/>
    <x v="4"/>
    <s v="Free"/>
    <n v="1"/>
    <n v="1"/>
    <n v="0"/>
    <n v="0"/>
    <x v="0"/>
    <n v="0"/>
    <n v="0"/>
    <m/>
    <n v="61.5"/>
  </r>
  <r>
    <s v="USR-100115"/>
    <d v="2025-03-28T00:00:00"/>
    <x v="0"/>
    <x v="2"/>
    <x v="0"/>
    <x v="4"/>
    <s v="Free"/>
    <n v="1"/>
    <n v="0"/>
    <n v="0"/>
    <n v="0"/>
    <x v="0"/>
    <n v="0"/>
    <n v="0"/>
    <m/>
    <n v="63.2"/>
  </r>
  <r>
    <s v="USR-100116"/>
    <d v="2025-01-11T00:00:00"/>
    <x v="0"/>
    <x v="1"/>
    <x v="1"/>
    <x v="1"/>
    <s v="Free"/>
    <n v="0"/>
    <n v="0"/>
    <n v="0"/>
    <n v="0"/>
    <x v="0"/>
    <n v="0"/>
    <n v="0"/>
    <m/>
    <n v="71.900000000000006"/>
  </r>
  <r>
    <s v="USR-100117"/>
    <d v="2025-04-11T00:00:00"/>
    <x v="0"/>
    <x v="0"/>
    <x v="1"/>
    <x v="3"/>
    <s v="Free"/>
    <n v="0"/>
    <n v="0"/>
    <n v="0"/>
    <n v="0"/>
    <x v="0"/>
    <n v="0"/>
    <n v="0"/>
    <m/>
    <n v="62.7"/>
  </r>
  <r>
    <s v="USR-100118"/>
    <d v="2025-01-02T00:00:00"/>
    <x v="0"/>
    <x v="1"/>
    <x v="1"/>
    <x v="2"/>
    <s v="Free"/>
    <n v="1"/>
    <n v="0"/>
    <n v="0"/>
    <n v="0"/>
    <x v="0"/>
    <n v="0"/>
    <n v="0"/>
    <m/>
    <n v="51.5"/>
  </r>
  <r>
    <s v="USR-100119"/>
    <d v="2025-03-18T00:00:00"/>
    <x v="0"/>
    <x v="2"/>
    <x v="1"/>
    <x v="4"/>
    <s v="Free"/>
    <n v="1"/>
    <n v="1"/>
    <n v="1"/>
    <n v="0"/>
    <x v="0"/>
    <n v="0"/>
    <n v="0"/>
    <m/>
    <n v="39.1"/>
  </r>
  <r>
    <s v="USR-100120"/>
    <d v="2025-03-31T00:00:00"/>
    <x v="0"/>
    <x v="0"/>
    <x v="1"/>
    <x v="0"/>
    <s v="Free"/>
    <n v="1"/>
    <n v="0"/>
    <n v="0"/>
    <n v="0"/>
    <x v="0"/>
    <n v="0"/>
    <n v="0"/>
    <m/>
    <n v="43.8"/>
  </r>
  <r>
    <s v="USR-100121"/>
    <d v="2025-01-06T00:00:00"/>
    <x v="0"/>
    <x v="0"/>
    <x v="1"/>
    <x v="2"/>
    <s v="Basic"/>
    <n v="1"/>
    <n v="0"/>
    <n v="0"/>
    <n v="0"/>
    <x v="0"/>
    <n v="0"/>
    <n v="0"/>
    <m/>
    <n v="59.9"/>
  </r>
  <r>
    <s v="USR-100122"/>
    <d v="2025-01-26T00:00:00"/>
    <x v="0"/>
    <x v="0"/>
    <x v="1"/>
    <x v="3"/>
    <s v="Free"/>
    <n v="1"/>
    <n v="1"/>
    <n v="0"/>
    <n v="0"/>
    <x v="0"/>
    <n v="0"/>
    <n v="0"/>
    <m/>
    <n v="71.400000000000006"/>
  </r>
  <r>
    <s v="USR-100123"/>
    <d v="2025-04-22T00:00:00"/>
    <x v="0"/>
    <x v="3"/>
    <x v="1"/>
    <x v="3"/>
    <s v="Basic"/>
    <n v="0"/>
    <n v="0"/>
    <n v="0"/>
    <n v="0"/>
    <x v="0"/>
    <n v="0"/>
    <n v="0"/>
    <m/>
    <n v="36.1"/>
  </r>
  <r>
    <s v="USR-100124"/>
    <d v="2025-05-30T00:00:00"/>
    <x v="0"/>
    <x v="1"/>
    <x v="3"/>
    <x v="0"/>
    <s v="Basic"/>
    <n v="1"/>
    <n v="1"/>
    <n v="0"/>
    <n v="0"/>
    <x v="0"/>
    <n v="0"/>
    <n v="0"/>
    <m/>
    <n v="47.9"/>
  </r>
  <r>
    <s v="USR-100125"/>
    <d v="2025-05-18T00:00:00"/>
    <x v="0"/>
    <x v="1"/>
    <x v="0"/>
    <x v="1"/>
    <s v="Premium"/>
    <n v="1"/>
    <n v="0"/>
    <n v="0"/>
    <n v="0"/>
    <x v="0"/>
    <n v="0"/>
    <n v="0"/>
    <m/>
    <n v="62.5"/>
  </r>
  <r>
    <s v="USR-100126"/>
    <d v="2025-01-13T00:00:00"/>
    <x v="0"/>
    <x v="3"/>
    <x v="0"/>
    <x v="2"/>
    <s v="Premium"/>
    <n v="1"/>
    <n v="0"/>
    <n v="0"/>
    <n v="0"/>
    <x v="0"/>
    <n v="0"/>
    <n v="0"/>
    <m/>
    <n v="56.9"/>
  </r>
  <r>
    <s v="USR-100127"/>
    <d v="2025-03-25T00:00:00"/>
    <x v="0"/>
    <x v="0"/>
    <x v="0"/>
    <x v="0"/>
    <s v="Free"/>
    <n v="0"/>
    <n v="0"/>
    <n v="0"/>
    <n v="0"/>
    <x v="0"/>
    <n v="0"/>
    <n v="0"/>
    <m/>
    <n v="64.7"/>
  </r>
  <r>
    <s v="USR-100128"/>
    <d v="2025-04-29T00:00:00"/>
    <x v="0"/>
    <x v="3"/>
    <x v="0"/>
    <x v="1"/>
    <s v="Free"/>
    <n v="1"/>
    <n v="1"/>
    <n v="1"/>
    <n v="0"/>
    <x v="0"/>
    <n v="0"/>
    <n v="0"/>
    <m/>
    <n v="64"/>
  </r>
  <r>
    <s v="USR-100129"/>
    <d v="2025-05-17T00:00:00"/>
    <x v="0"/>
    <x v="2"/>
    <x v="1"/>
    <x v="3"/>
    <s v="Basic"/>
    <n v="1"/>
    <n v="1"/>
    <n v="1"/>
    <n v="0"/>
    <x v="0"/>
    <n v="0"/>
    <n v="0"/>
    <m/>
    <n v="75.2"/>
  </r>
  <r>
    <s v="USR-100130"/>
    <d v="2025-01-02T00:00:00"/>
    <x v="0"/>
    <x v="0"/>
    <x v="1"/>
    <x v="2"/>
    <s v="Free"/>
    <n v="1"/>
    <n v="0"/>
    <n v="0"/>
    <n v="0"/>
    <x v="0"/>
    <n v="1"/>
    <n v="0"/>
    <m/>
    <n v="79"/>
  </r>
  <r>
    <s v="USR-100131"/>
    <d v="2025-02-03T00:00:00"/>
    <x v="0"/>
    <x v="3"/>
    <x v="1"/>
    <x v="1"/>
    <s v="Free"/>
    <n v="0"/>
    <n v="0"/>
    <n v="0"/>
    <n v="0"/>
    <x v="0"/>
    <n v="0"/>
    <n v="0"/>
    <m/>
    <n v="33"/>
  </r>
  <r>
    <s v="USR-100132"/>
    <d v="2025-03-04T00:00:00"/>
    <x v="0"/>
    <x v="2"/>
    <x v="1"/>
    <x v="1"/>
    <s v="Free"/>
    <n v="1"/>
    <n v="0"/>
    <n v="0"/>
    <n v="0"/>
    <x v="0"/>
    <n v="0"/>
    <n v="0"/>
    <m/>
    <n v="67.900000000000006"/>
  </r>
  <r>
    <s v="USR-100133"/>
    <d v="2025-01-26T00:00:00"/>
    <x v="0"/>
    <x v="3"/>
    <x v="1"/>
    <x v="2"/>
    <s v="Basic"/>
    <n v="0"/>
    <n v="0"/>
    <n v="0"/>
    <n v="0"/>
    <x v="0"/>
    <n v="0"/>
    <n v="0"/>
    <m/>
    <n v="42.2"/>
  </r>
  <r>
    <s v="USR-100134"/>
    <d v="2025-05-12T00:00:00"/>
    <x v="0"/>
    <x v="1"/>
    <x v="1"/>
    <x v="2"/>
    <s v="Basic"/>
    <n v="1"/>
    <n v="1"/>
    <n v="1"/>
    <n v="0"/>
    <x v="0"/>
    <n v="0"/>
    <n v="0"/>
    <m/>
    <n v="43.4"/>
  </r>
  <r>
    <s v="USR-100135"/>
    <d v="2025-03-06T00:00:00"/>
    <x v="0"/>
    <x v="0"/>
    <x v="1"/>
    <x v="1"/>
    <s v="Basic"/>
    <n v="0"/>
    <n v="0"/>
    <n v="0"/>
    <n v="0"/>
    <x v="0"/>
    <n v="0"/>
    <n v="0"/>
    <m/>
    <n v="54.4"/>
  </r>
  <r>
    <s v="USR-100136"/>
    <d v="2025-03-10T00:00:00"/>
    <x v="0"/>
    <x v="3"/>
    <x v="0"/>
    <x v="0"/>
    <s v="Premium"/>
    <n v="0"/>
    <n v="0"/>
    <n v="0"/>
    <n v="0"/>
    <x v="0"/>
    <n v="0"/>
    <n v="0"/>
    <m/>
    <n v="45.7"/>
  </r>
  <r>
    <s v="USR-100137"/>
    <d v="2025-05-06T00:00:00"/>
    <x v="0"/>
    <x v="0"/>
    <x v="1"/>
    <x v="2"/>
    <s v="Free"/>
    <n v="0"/>
    <n v="0"/>
    <n v="0"/>
    <n v="0"/>
    <x v="0"/>
    <n v="3"/>
    <n v="0"/>
    <m/>
    <n v="32"/>
  </r>
  <r>
    <s v="USR-100138"/>
    <d v="2025-02-23T00:00:00"/>
    <x v="0"/>
    <x v="3"/>
    <x v="0"/>
    <x v="2"/>
    <s v="Free"/>
    <n v="1"/>
    <n v="0"/>
    <n v="0"/>
    <n v="0"/>
    <x v="0"/>
    <n v="0"/>
    <n v="0"/>
    <m/>
    <n v="70.900000000000006"/>
  </r>
  <r>
    <s v="USR-100139"/>
    <d v="2025-01-29T00:00:00"/>
    <x v="0"/>
    <x v="1"/>
    <x v="1"/>
    <x v="4"/>
    <s v="Basic"/>
    <n v="1"/>
    <n v="1"/>
    <n v="1"/>
    <n v="0"/>
    <x v="0"/>
    <n v="0"/>
    <n v="0"/>
    <m/>
    <n v="59.1"/>
  </r>
  <r>
    <s v="USR-100140"/>
    <d v="2025-01-31T00:00:00"/>
    <x v="0"/>
    <x v="0"/>
    <x v="1"/>
    <x v="1"/>
    <s v="Basic"/>
    <n v="0"/>
    <n v="0"/>
    <n v="0"/>
    <n v="0"/>
    <x v="0"/>
    <n v="0"/>
    <n v="0"/>
    <m/>
    <n v="62.4"/>
  </r>
  <r>
    <s v="USR-100141"/>
    <d v="2025-01-19T00:00:00"/>
    <x v="0"/>
    <x v="3"/>
    <x v="1"/>
    <x v="1"/>
    <s v="Free"/>
    <n v="0"/>
    <n v="0"/>
    <n v="0"/>
    <n v="0"/>
    <x v="0"/>
    <n v="0"/>
    <n v="0"/>
    <m/>
    <n v="49.6"/>
  </r>
  <r>
    <s v="USR-100142"/>
    <d v="2025-04-03T00:00:00"/>
    <x v="0"/>
    <x v="1"/>
    <x v="0"/>
    <x v="4"/>
    <s v="Free"/>
    <n v="1"/>
    <n v="1"/>
    <n v="1"/>
    <n v="1"/>
    <x v="6"/>
    <n v="0"/>
    <n v="0"/>
    <n v="9"/>
    <n v="80.599999999999994"/>
  </r>
  <r>
    <s v="USR-100143"/>
    <d v="2025-04-07T00:00:00"/>
    <x v="0"/>
    <x v="0"/>
    <x v="1"/>
    <x v="2"/>
    <s v="Free"/>
    <n v="1"/>
    <n v="0"/>
    <n v="0"/>
    <n v="0"/>
    <x v="0"/>
    <n v="0"/>
    <n v="0"/>
    <m/>
    <n v="47.9"/>
  </r>
  <r>
    <s v="USR-100144"/>
    <d v="2025-01-06T00:00:00"/>
    <x v="0"/>
    <x v="2"/>
    <x v="1"/>
    <x v="2"/>
    <s v="Basic"/>
    <n v="1"/>
    <n v="1"/>
    <n v="0"/>
    <n v="0"/>
    <x v="0"/>
    <n v="0"/>
    <n v="0"/>
    <m/>
    <n v="54.8"/>
  </r>
  <r>
    <s v="USR-100145"/>
    <d v="2025-04-11T00:00:00"/>
    <x v="0"/>
    <x v="2"/>
    <x v="1"/>
    <x v="1"/>
    <s v="Free"/>
    <n v="1"/>
    <n v="0"/>
    <n v="0"/>
    <n v="0"/>
    <x v="0"/>
    <n v="1"/>
    <n v="0"/>
    <m/>
    <n v="53.9"/>
  </r>
  <r>
    <s v="USR-100146"/>
    <d v="2025-04-23T00:00:00"/>
    <x v="0"/>
    <x v="2"/>
    <x v="1"/>
    <x v="2"/>
    <s v="Free"/>
    <n v="1"/>
    <n v="0"/>
    <n v="0"/>
    <n v="0"/>
    <x v="0"/>
    <n v="0"/>
    <n v="0"/>
    <m/>
    <n v="41.3"/>
  </r>
  <r>
    <s v="USR-100147"/>
    <d v="2025-03-25T00:00:00"/>
    <x v="0"/>
    <x v="1"/>
    <x v="1"/>
    <x v="1"/>
    <s v="Basic"/>
    <n v="1"/>
    <n v="1"/>
    <n v="0"/>
    <n v="0"/>
    <x v="0"/>
    <n v="0"/>
    <n v="0"/>
    <m/>
    <n v="38.9"/>
  </r>
  <r>
    <s v="USR-100148"/>
    <d v="2025-05-25T00:00:00"/>
    <x v="0"/>
    <x v="3"/>
    <x v="0"/>
    <x v="1"/>
    <s v="Basic"/>
    <n v="1"/>
    <n v="0"/>
    <n v="0"/>
    <n v="0"/>
    <x v="0"/>
    <n v="0"/>
    <n v="0"/>
    <m/>
    <n v="63.6"/>
  </r>
  <r>
    <s v="USR-100149"/>
    <d v="2025-01-28T00:00:00"/>
    <x v="0"/>
    <x v="0"/>
    <x v="1"/>
    <x v="1"/>
    <s v="Free"/>
    <n v="1"/>
    <n v="1"/>
    <n v="1"/>
    <n v="1"/>
    <x v="7"/>
    <n v="0"/>
    <n v="0"/>
    <n v="9"/>
    <n v="76.599999999999994"/>
  </r>
  <r>
    <s v="USR-100150"/>
    <d v="2025-02-12T00:00:00"/>
    <x v="0"/>
    <x v="1"/>
    <x v="1"/>
    <x v="2"/>
    <s v="Premium"/>
    <n v="0"/>
    <n v="0"/>
    <n v="0"/>
    <n v="0"/>
    <x v="0"/>
    <n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x v="0"/>
    <n v="0"/>
    <n v="0"/>
    <m/>
    <n v="43.1"/>
  </r>
  <r>
    <s v="USR-100152"/>
    <d v="2025-03-13T00:00:00"/>
    <x v="0"/>
    <x v="3"/>
    <x v="1"/>
    <x v="0"/>
    <s v="Free"/>
    <n v="1"/>
    <n v="0"/>
    <n v="0"/>
    <n v="0"/>
    <x v="0"/>
    <n v="0"/>
    <n v="0"/>
    <m/>
    <n v="58.3"/>
  </r>
  <r>
    <s v="USR-100153"/>
    <d v="2025-02-04T00:00:00"/>
    <x v="0"/>
    <x v="2"/>
    <x v="0"/>
    <x v="2"/>
    <s v="Free"/>
    <n v="1"/>
    <n v="0"/>
    <n v="0"/>
    <n v="0"/>
    <x v="0"/>
    <n v="0"/>
    <n v="0"/>
    <m/>
    <n v="69.8"/>
  </r>
  <r>
    <s v="USR-100154"/>
    <d v="2025-03-04T00:00:00"/>
    <x v="0"/>
    <x v="3"/>
    <x v="1"/>
    <x v="3"/>
    <s v="Free"/>
    <n v="1"/>
    <n v="1"/>
    <n v="0"/>
    <n v="0"/>
    <x v="0"/>
    <n v="0"/>
    <n v="0"/>
    <m/>
    <m/>
  </r>
  <r>
    <s v="USR-100155"/>
    <d v="2025-02-04T00:00:00"/>
    <x v="0"/>
    <x v="1"/>
    <x v="1"/>
    <x v="2"/>
    <s v="Basic"/>
    <n v="1"/>
    <n v="1"/>
    <n v="0"/>
    <n v="0"/>
    <x v="0"/>
    <n v="0"/>
    <n v="0"/>
    <m/>
    <n v="41.9"/>
  </r>
  <r>
    <s v="USR-100156"/>
    <d v="2025-03-11T00:00:00"/>
    <x v="0"/>
    <x v="0"/>
    <x v="0"/>
    <x v="1"/>
    <s v="Free"/>
    <n v="0"/>
    <n v="0"/>
    <n v="0"/>
    <n v="0"/>
    <x v="0"/>
    <n v="0"/>
    <n v="0"/>
    <m/>
    <n v="33.1"/>
  </r>
  <r>
    <s v="USR-100157"/>
    <d v="2025-04-22T00:00:00"/>
    <x v="0"/>
    <x v="1"/>
    <x v="1"/>
    <x v="1"/>
    <s v="Free"/>
    <n v="0"/>
    <n v="0"/>
    <n v="0"/>
    <n v="0"/>
    <x v="0"/>
    <n v="0"/>
    <n v="0"/>
    <m/>
    <n v="58.6"/>
  </r>
  <r>
    <s v="USR-100158"/>
    <d v="2025-03-08T00:00:00"/>
    <x v="0"/>
    <x v="0"/>
    <x v="0"/>
    <x v="2"/>
    <s v="Free"/>
    <n v="0"/>
    <n v="0"/>
    <n v="0"/>
    <n v="0"/>
    <x v="0"/>
    <n v="0"/>
    <n v="0"/>
    <m/>
    <n v="55.7"/>
  </r>
  <r>
    <s v="USR-100159"/>
    <d v="2025-03-10T00:00:00"/>
    <x v="0"/>
    <x v="2"/>
    <x v="1"/>
    <x v="1"/>
    <s v="Free"/>
    <n v="0"/>
    <n v="0"/>
    <n v="0"/>
    <n v="0"/>
    <x v="0"/>
    <n v="2"/>
    <n v="0"/>
    <m/>
    <n v="64.900000000000006"/>
  </r>
  <r>
    <s v="USR-100160"/>
    <d v="2025-05-18T00:00:00"/>
    <x v="0"/>
    <x v="0"/>
    <x v="0"/>
    <x v="2"/>
    <s v="Basic"/>
    <n v="0"/>
    <n v="0"/>
    <n v="0"/>
    <n v="0"/>
    <x v="0"/>
    <n v="0"/>
    <n v="0"/>
    <m/>
    <n v="72.3"/>
  </r>
  <r>
    <s v="USR-100161"/>
    <d v="2025-05-14T00:00:00"/>
    <x v="0"/>
    <x v="0"/>
    <x v="1"/>
    <x v="4"/>
    <s v="Basic"/>
    <n v="0"/>
    <n v="0"/>
    <n v="0"/>
    <n v="0"/>
    <x v="0"/>
    <n v="0"/>
    <n v="0"/>
    <m/>
    <n v="42.1"/>
  </r>
  <r>
    <s v="USR-100162"/>
    <d v="2025-02-01T00:00:00"/>
    <x v="0"/>
    <x v="0"/>
    <x v="1"/>
    <x v="1"/>
    <s v="Free"/>
    <n v="0"/>
    <n v="0"/>
    <n v="0"/>
    <n v="0"/>
    <x v="0"/>
    <n v="0"/>
    <n v="0"/>
    <m/>
    <m/>
  </r>
  <r>
    <s v="USR-100163"/>
    <d v="2025-04-11T00:00:00"/>
    <x v="0"/>
    <x v="3"/>
    <x v="1"/>
    <x v="1"/>
    <s v="Basic"/>
    <n v="0"/>
    <n v="0"/>
    <n v="0"/>
    <n v="0"/>
    <x v="0"/>
    <n v="1"/>
    <n v="0"/>
    <m/>
    <n v="64.8"/>
  </r>
  <r>
    <s v="USR-100164"/>
    <d v="2025-02-14T00:00:00"/>
    <x v="0"/>
    <x v="2"/>
    <x v="1"/>
    <x v="1"/>
    <s v="Free"/>
    <n v="0"/>
    <n v="0"/>
    <n v="0"/>
    <n v="0"/>
    <x v="0"/>
    <n v="0"/>
    <n v="0"/>
    <m/>
    <n v="72.099999999999994"/>
  </r>
  <r>
    <s v="USR-100165"/>
    <d v="2025-05-19T00:00:00"/>
    <x v="0"/>
    <x v="2"/>
    <x v="1"/>
    <x v="4"/>
    <s v="Free"/>
    <n v="1"/>
    <n v="0"/>
    <n v="0"/>
    <n v="0"/>
    <x v="0"/>
    <n v="0"/>
    <n v="0"/>
    <m/>
    <n v="50.6"/>
  </r>
  <r>
    <s v="USR-100166"/>
    <d v="2025-04-26T00:00:00"/>
    <x v="0"/>
    <x v="0"/>
    <x v="0"/>
    <x v="2"/>
    <s v="Basic"/>
    <n v="1"/>
    <n v="1"/>
    <n v="1"/>
    <n v="1"/>
    <x v="8"/>
    <n v="1"/>
    <n v="0"/>
    <n v="9"/>
    <n v="43.4"/>
  </r>
  <r>
    <s v="USR-100167"/>
    <d v="2025-04-06T00:00:00"/>
    <x v="0"/>
    <x v="3"/>
    <x v="1"/>
    <x v="4"/>
    <s v="Free"/>
    <n v="1"/>
    <n v="0"/>
    <n v="0"/>
    <n v="0"/>
    <x v="0"/>
    <n v="0"/>
    <n v="0"/>
    <m/>
    <n v="59.7"/>
  </r>
  <r>
    <s v="USR-100168"/>
    <d v="2025-03-06T00:00:00"/>
    <x v="0"/>
    <x v="3"/>
    <x v="1"/>
    <x v="2"/>
    <s v="Free"/>
    <n v="1"/>
    <n v="0"/>
    <n v="0"/>
    <n v="0"/>
    <x v="0"/>
    <n v="1"/>
    <n v="0"/>
    <m/>
    <m/>
  </r>
  <r>
    <s v="USR-100169"/>
    <d v="2025-03-10T00:00:00"/>
    <x v="0"/>
    <x v="1"/>
    <x v="1"/>
    <x v="4"/>
    <s v="Basic"/>
    <n v="0"/>
    <n v="0"/>
    <n v="0"/>
    <n v="0"/>
    <x v="0"/>
    <n v="0"/>
    <n v="0"/>
    <m/>
    <n v="54.5"/>
  </r>
  <r>
    <s v="USR-100170"/>
    <d v="2025-03-30T00:00:00"/>
    <x v="0"/>
    <x v="0"/>
    <x v="1"/>
    <x v="1"/>
    <s v="Free"/>
    <n v="1"/>
    <n v="0"/>
    <n v="0"/>
    <n v="0"/>
    <x v="0"/>
    <n v="0"/>
    <n v="0"/>
    <m/>
    <n v="71.099999999999994"/>
  </r>
  <r>
    <s v="USR-100171"/>
    <d v="2025-05-29T00:00:00"/>
    <x v="0"/>
    <x v="2"/>
    <x v="3"/>
    <x v="2"/>
    <s v="Free"/>
    <n v="1"/>
    <n v="1"/>
    <n v="1"/>
    <n v="0"/>
    <x v="0"/>
    <n v="0"/>
    <n v="0"/>
    <m/>
    <n v="44.4"/>
  </r>
  <r>
    <s v="USR-100172"/>
    <d v="2025-03-23T00:00:00"/>
    <x v="0"/>
    <x v="0"/>
    <x v="1"/>
    <x v="1"/>
    <s v="Free"/>
    <n v="1"/>
    <n v="0"/>
    <n v="0"/>
    <n v="0"/>
    <x v="0"/>
    <n v="0"/>
    <n v="0"/>
    <m/>
    <n v="61.7"/>
  </r>
  <r>
    <s v="USR-100173"/>
    <d v="2025-02-18T00:00:00"/>
    <x v="0"/>
    <x v="0"/>
    <x v="2"/>
    <x v="1"/>
    <s v="Basic"/>
    <n v="0"/>
    <n v="0"/>
    <n v="0"/>
    <n v="0"/>
    <x v="0"/>
    <n v="1"/>
    <n v="0"/>
    <m/>
    <n v="81.3"/>
  </r>
  <r>
    <s v="USR-100174"/>
    <d v="2025-01-26T00:00:00"/>
    <x v="0"/>
    <x v="0"/>
    <x v="0"/>
    <x v="0"/>
    <s v="Free"/>
    <n v="1"/>
    <n v="0"/>
    <n v="0"/>
    <n v="0"/>
    <x v="0"/>
    <n v="2"/>
    <n v="0"/>
    <m/>
    <n v="28.7"/>
  </r>
  <r>
    <s v="USR-100175"/>
    <d v="2025-04-23T00:00:00"/>
    <x v="0"/>
    <x v="2"/>
    <x v="1"/>
    <x v="4"/>
    <s v="Basic"/>
    <n v="0"/>
    <n v="0"/>
    <n v="0"/>
    <n v="0"/>
    <x v="0"/>
    <n v="0"/>
    <n v="0"/>
    <m/>
    <n v="53"/>
  </r>
  <r>
    <s v="USR-100176"/>
    <d v="2025-03-16T00:00:00"/>
    <x v="0"/>
    <x v="3"/>
    <x v="2"/>
    <x v="3"/>
    <s v="Basic"/>
    <n v="1"/>
    <n v="0"/>
    <n v="0"/>
    <n v="0"/>
    <x v="0"/>
    <n v="0"/>
    <n v="0"/>
    <m/>
    <n v="54.9"/>
  </r>
  <r>
    <s v="USR-100177"/>
    <d v="2025-04-29T00:00:00"/>
    <x v="0"/>
    <x v="1"/>
    <x v="1"/>
    <x v="1"/>
    <s v="Basic"/>
    <n v="1"/>
    <n v="0"/>
    <n v="0"/>
    <n v="0"/>
    <x v="0"/>
    <n v="0"/>
    <n v="0"/>
    <m/>
    <n v="58.2"/>
  </r>
  <r>
    <s v="USR-100178"/>
    <d v="2025-04-06T00:00:00"/>
    <x v="0"/>
    <x v="0"/>
    <x v="1"/>
    <x v="1"/>
    <s v="Free"/>
    <n v="0"/>
    <n v="0"/>
    <n v="0"/>
    <n v="0"/>
    <x v="0"/>
    <n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x v="0"/>
    <n v="0"/>
    <n v="0"/>
    <m/>
    <n v="38.4"/>
  </r>
  <r>
    <s v="USR-100180"/>
    <d v="2025-04-03T00:00:00"/>
    <x v="0"/>
    <x v="3"/>
    <x v="1"/>
    <x v="2"/>
    <s v="Free"/>
    <n v="1"/>
    <n v="0"/>
    <n v="0"/>
    <n v="0"/>
    <x v="0"/>
    <n v="0"/>
    <n v="0"/>
    <m/>
    <n v="56.1"/>
  </r>
  <r>
    <s v="USR-100181"/>
    <d v="2025-04-25T00:00:00"/>
    <x v="0"/>
    <x v="1"/>
    <x v="1"/>
    <x v="2"/>
    <s v="Free"/>
    <n v="0"/>
    <n v="0"/>
    <n v="0"/>
    <n v="0"/>
    <x v="0"/>
    <n v="0"/>
    <n v="0"/>
    <m/>
    <n v="62.6"/>
  </r>
  <r>
    <s v="USR-100182"/>
    <d v="2025-04-30T00:00:00"/>
    <x v="0"/>
    <x v="3"/>
    <x v="1"/>
    <x v="1"/>
    <s v="Premium"/>
    <n v="0"/>
    <n v="0"/>
    <n v="0"/>
    <n v="0"/>
    <x v="0"/>
    <n v="0"/>
    <n v="0"/>
    <m/>
    <n v="36.299999999999997"/>
  </r>
  <r>
    <s v="USR-100183"/>
    <d v="2025-03-12T00:00:00"/>
    <x v="0"/>
    <x v="3"/>
    <x v="1"/>
    <x v="2"/>
    <s v="Free"/>
    <n v="1"/>
    <n v="0"/>
    <n v="0"/>
    <n v="0"/>
    <x v="0"/>
    <n v="0"/>
    <n v="0"/>
    <m/>
    <n v="52.1"/>
  </r>
  <r>
    <s v="USR-100184"/>
    <d v="2025-05-04T00:00:00"/>
    <x v="0"/>
    <x v="3"/>
    <x v="1"/>
    <x v="1"/>
    <s v="Free"/>
    <n v="1"/>
    <n v="0"/>
    <n v="0"/>
    <n v="0"/>
    <x v="0"/>
    <n v="0"/>
    <n v="0"/>
    <m/>
    <n v="45.1"/>
  </r>
  <r>
    <s v="USR-100185"/>
    <d v="2025-02-07T00:00:00"/>
    <x v="0"/>
    <x v="3"/>
    <x v="2"/>
    <x v="2"/>
    <s v="Premium"/>
    <n v="0"/>
    <n v="0"/>
    <n v="0"/>
    <n v="0"/>
    <x v="0"/>
    <n v="0"/>
    <n v="0"/>
    <m/>
    <n v="67.5"/>
  </r>
  <r>
    <s v="USR-100186"/>
    <d v="2025-04-28T00:00:00"/>
    <x v="0"/>
    <x v="2"/>
    <x v="2"/>
    <x v="0"/>
    <s v="Basic"/>
    <n v="1"/>
    <n v="1"/>
    <n v="1"/>
    <n v="0"/>
    <x v="0"/>
    <n v="0"/>
    <n v="0"/>
    <m/>
    <n v="80"/>
  </r>
  <r>
    <s v="USR-100187"/>
    <d v="2025-05-15T00:00:00"/>
    <x v="0"/>
    <x v="2"/>
    <x v="0"/>
    <x v="3"/>
    <s v="Free"/>
    <n v="0"/>
    <n v="0"/>
    <n v="0"/>
    <n v="0"/>
    <x v="0"/>
    <n v="0"/>
    <n v="0"/>
    <m/>
    <n v="56.4"/>
  </r>
  <r>
    <s v="USR-100188"/>
    <d v="2025-01-18T00:00:00"/>
    <x v="0"/>
    <x v="1"/>
    <x v="1"/>
    <x v="2"/>
    <s v="Basic"/>
    <n v="0"/>
    <n v="0"/>
    <n v="0"/>
    <n v="0"/>
    <x v="0"/>
    <n v="0"/>
    <n v="0"/>
    <m/>
    <n v="55.4"/>
  </r>
  <r>
    <s v="USR-100189"/>
    <d v="2025-02-15T00:00:00"/>
    <x v="0"/>
    <x v="3"/>
    <x v="1"/>
    <x v="4"/>
    <s v="Basic"/>
    <n v="1"/>
    <n v="0"/>
    <n v="0"/>
    <n v="0"/>
    <x v="0"/>
    <n v="0"/>
    <n v="0"/>
    <m/>
    <n v="67.900000000000006"/>
  </r>
  <r>
    <s v="USR-100190"/>
    <d v="2025-02-18T00:00:00"/>
    <x v="0"/>
    <x v="0"/>
    <x v="2"/>
    <x v="0"/>
    <s v="Free"/>
    <n v="1"/>
    <n v="0"/>
    <n v="0"/>
    <n v="0"/>
    <x v="0"/>
    <n v="0"/>
    <n v="0"/>
    <m/>
    <n v="62.5"/>
  </r>
  <r>
    <s v="USR-100191"/>
    <d v="2025-01-30T00:00:00"/>
    <x v="0"/>
    <x v="3"/>
    <x v="0"/>
    <x v="0"/>
    <s v="Basic"/>
    <n v="1"/>
    <n v="1"/>
    <n v="1"/>
    <n v="0"/>
    <x v="0"/>
    <n v="0"/>
    <n v="0"/>
    <m/>
    <n v="54.3"/>
  </r>
  <r>
    <s v="USR-100192"/>
    <d v="2025-02-09T00:00:00"/>
    <x v="0"/>
    <x v="3"/>
    <x v="0"/>
    <x v="1"/>
    <s v="Basic"/>
    <n v="1"/>
    <n v="0"/>
    <n v="0"/>
    <n v="0"/>
    <x v="0"/>
    <n v="0"/>
    <n v="0"/>
    <m/>
    <n v="37.5"/>
  </r>
  <r>
    <s v="USR-100193"/>
    <d v="2025-03-16T00:00:00"/>
    <x v="0"/>
    <x v="1"/>
    <x v="1"/>
    <x v="2"/>
    <s v="Basic"/>
    <n v="1"/>
    <n v="0"/>
    <n v="0"/>
    <n v="0"/>
    <x v="0"/>
    <n v="0"/>
    <n v="0"/>
    <m/>
    <n v="52.6"/>
  </r>
  <r>
    <s v="USR-100194"/>
    <d v="2025-05-19T00:00:00"/>
    <x v="0"/>
    <x v="0"/>
    <x v="1"/>
    <x v="2"/>
    <s v="Free"/>
    <n v="1"/>
    <n v="0"/>
    <n v="0"/>
    <n v="0"/>
    <x v="0"/>
    <n v="0"/>
    <n v="0"/>
    <m/>
    <n v="46.1"/>
  </r>
  <r>
    <s v="USR-100195"/>
    <d v="2025-05-16T00:00:00"/>
    <x v="0"/>
    <x v="3"/>
    <x v="0"/>
    <x v="1"/>
    <s v="Basic"/>
    <n v="1"/>
    <n v="0"/>
    <n v="0"/>
    <n v="0"/>
    <x v="0"/>
    <n v="0"/>
    <n v="0"/>
    <m/>
    <n v="54.7"/>
  </r>
  <r>
    <s v="USR-100196"/>
    <d v="2025-04-25T00:00:00"/>
    <x v="0"/>
    <x v="1"/>
    <x v="0"/>
    <x v="3"/>
    <s v="Basic"/>
    <n v="0"/>
    <n v="0"/>
    <n v="0"/>
    <n v="0"/>
    <x v="0"/>
    <n v="0"/>
    <n v="0"/>
    <m/>
    <n v="74.2"/>
  </r>
  <r>
    <s v="USR-100197"/>
    <d v="2025-02-27T00:00:00"/>
    <x v="0"/>
    <x v="0"/>
    <x v="1"/>
    <x v="4"/>
    <s v="Basic"/>
    <n v="1"/>
    <n v="1"/>
    <n v="1"/>
    <n v="1"/>
    <x v="9"/>
    <n v="2"/>
    <n v="0"/>
    <n v="6"/>
    <n v="64.7"/>
  </r>
  <r>
    <s v="USR-100198"/>
    <d v="2025-04-26T00:00:00"/>
    <x v="0"/>
    <x v="3"/>
    <x v="1"/>
    <x v="2"/>
    <s v="Basic"/>
    <n v="0"/>
    <n v="0"/>
    <n v="0"/>
    <n v="0"/>
    <x v="0"/>
    <n v="0"/>
    <n v="0"/>
    <m/>
    <n v="65.900000000000006"/>
  </r>
  <r>
    <s v="USR-100199"/>
    <d v="2025-05-14T00:00:00"/>
    <x v="0"/>
    <x v="0"/>
    <x v="1"/>
    <x v="1"/>
    <s v="Basic"/>
    <n v="1"/>
    <n v="0"/>
    <n v="0"/>
    <n v="0"/>
    <x v="0"/>
    <n v="0"/>
    <n v="0"/>
    <m/>
    <n v="64"/>
  </r>
  <r>
    <s v="USR-100200"/>
    <d v="2025-03-05T00:00:00"/>
    <x v="0"/>
    <x v="0"/>
    <x v="1"/>
    <x v="1"/>
    <s v="Premium"/>
    <n v="1"/>
    <n v="0"/>
    <n v="0"/>
    <n v="0"/>
    <x v="0"/>
    <n v="0"/>
    <n v="0"/>
    <m/>
    <n v="57.2"/>
  </r>
  <r>
    <s v="USR-100201"/>
    <d v="2025-04-02T00:00:00"/>
    <x v="0"/>
    <x v="1"/>
    <x v="0"/>
    <x v="1"/>
    <s v="Free"/>
    <n v="1"/>
    <n v="0"/>
    <n v="0"/>
    <n v="0"/>
    <x v="0"/>
    <n v="0"/>
    <n v="0"/>
    <m/>
    <n v="80.5"/>
  </r>
  <r>
    <s v="USR-100202"/>
    <d v="2025-05-14T00:00:00"/>
    <x v="0"/>
    <x v="3"/>
    <x v="2"/>
    <x v="1"/>
    <s v="Free"/>
    <n v="0"/>
    <n v="0"/>
    <n v="0"/>
    <n v="0"/>
    <x v="0"/>
    <n v="0"/>
    <n v="0"/>
    <m/>
    <n v="53.9"/>
  </r>
  <r>
    <s v="USR-100203"/>
    <d v="2025-05-21T00:00:00"/>
    <x v="0"/>
    <x v="0"/>
    <x v="1"/>
    <x v="2"/>
    <s v="Free"/>
    <n v="1"/>
    <n v="1"/>
    <n v="0"/>
    <n v="0"/>
    <x v="0"/>
    <n v="0"/>
    <n v="0"/>
    <m/>
    <n v="77.5"/>
  </r>
  <r>
    <s v="USR-100204"/>
    <d v="2025-01-27T00:00:00"/>
    <x v="0"/>
    <x v="2"/>
    <x v="1"/>
    <x v="4"/>
    <s v="Basic"/>
    <n v="0"/>
    <n v="0"/>
    <n v="0"/>
    <n v="0"/>
    <x v="0"/>
    <n v="0"/>
    <n v="0"/>
    <m/>
    <n v="84.2"/>
  </r>
  <r>
    <s v="USR-100205"/>
    <d v="2025-05-22T00:00:00"/>
    <x v="0"/>
    <x v="1"/>
    <x v="0"/>
    <x v="1"/>
    <s v="Free"/>
    <n v="1"/>
    <n v="1"/>
    <n v="0"/>
    <n v="0"/>
    <x v="0"/>
    <n v="0"/>
    <n v="0"/>
    <m/>
    <n v="54.9"/>
  </r>
  <r>
    <s v="USR-100206"/>
    <d v="2025-05-19T00:00:00"/>
    <x v="0"/>
    <x v="3"/>
    <x v="1"/>
    <x v="2"/>
    <s v="Free"/>
    <n v="0"/>
    <n v="0"/>
    <n v="0"/>
    <n v="0"/>
    <x v="0"/>
    <n v="0"/>
    <n v="0"/>
    <m/>
    <n v="69.3"/>
  </r>
  <r>
    <s v="USR-100207"/>
    <d v="2025-01-14T00:00:00"/>
    <x v="0"/>
    <x v="3"/>
    <x v="0"/>
    <x v="2"/>
    <s v="Free"/>
    <n v="1"/>
    <n v="0"/>
    <n v="0"/>
    <n v="0"/>
    <x v="0"/>
    <n v="2"/>
    <n v="0"/>
    <m/>
    <n v="42.3"/>
  </r>
  <r>
    <s v="USR-100208"/>
    <d v="2025-01-21T00:00:00"/>
    <x v="0"/>
    <x v="0"/>
    <x v="0"/>
    <x v="3"/>
    <s v="Premium"/>
    <n v="1"/>
    <n v="0"/>
    <n v="0"/>
    <n v="0"/>
    <x v="0"/>
    <n v="1"/>
    <n v="0"/>
    <m/>
    <n v="69.599999999999994"/>
  </r>
  <r>
    <s v="USR-100209"/>
    <d v="2025-05-16T00:00:00"/>
    <x v="0"/>
    <x v="2"/>
    <x v="1"/>
    <x v="1"/>
    <s v="Free"/>
    <n v="0"/>
    <n v="0"/>
    <n v="0"/>
    <n v="0"/>
    <x v="0"/>
    <n v="0"/>
    <n v="0"/>
    <m/>
    <n v="40.700000000000003"/>
  </r>
  <r>
    <s v="USR-100210"/>
    <d v="2025-02-02T00:00:00"/>
    <x v="0"/>
    <x v="0"/>
    <x v="1"/>
    <x v="0"/>
    <s v="Free"/>
    <n v="1"/>
    <n v="0"/>
    <n v="0"/>
    <n v="0"/>
    <x v="0"/>
    <n v="0"/>
    <n v="0"/>
    <m/>
    <n v="54"/>
  </r>
  <r>
    <s v="USR-100211"/>
    <d v="2025-03-23T00:00:00"/>
    <x v="0"/>
    <x v="2"/>
    <x v="3"/>
    <x v="3"/>
    <s v="Free"/>
    <n v="1"/>
    <n v="1"/>
    <n v="1"/>
    <n v="1"/>
    <x v="10"/>
    <n v="0"/>
    <n v="0"/>
    <n v="5"/>
    <n v="46.3"/>
  </r>
  <r>
    <s v="USR-100212"/>
    <d v="2025-01-24T00:00:00"/>
    <x v="0"/>
    <x v="2"/>
    <x v="1"/>
    <x v="1"/>
    <s v="Free"/>
    <n v="1"/>
    <n v="0"/>
    <n v="0"/>
    <n v="0"/>
    <x v="0"/>
    <n v="0"/>
    <n v="0"/>
    <m/>
    <n v="64.2"/>
  </r>
  <r>
    <s v="USR-100213"/>
    <d v="2025-04-12T00:00:00"/>
    <x v="0"/>
    <x v="0"/>
    <x v="0"/>
    <x v="1"/>
    <s v="Free"/>
    <n v="1"/>
    <n v="0"/>
    <n v="0"/>
    <n v="0"/>
    <x v="0"/>
    <n v="0"/>
    <n v="0"/>
    <m/>
    <n v="75.2"/>
  </r>
  <r>
    <s v="USR-100214"/>
    <d v="2025-02-18T00:00:00"/>
    <x v="0"/>
    <x v="2"/>
    <x v="0"/>
    <x v="2"/>
    <s v="Free"/>
    <n v="1"/>
    <n v="1"/>
    <n v="0"/>
    <n v="0"/>
    <x v="0"/>
    <n v="0"/>
    <n v="0"/>
    <m/>
    <n v="60.9"/>
  </r>
  <r>
    <s v="USR-100215"/>
    <d v="2025-05-28T00:00:00"/>
    <x v="0"/>
    <x v="3"/>
    <x v="1"/>
    <x v="0"/>
    <s v="Basic"/>
    <n v="1"/>
    <n v="1"/>
    <n v="1"/>
    <n v="0"/>
    <x v="0"/>
    <n v="0"/>
    <n v="0"/>
    <m/>
    <n v="62.1"/>
  </r>
  <r>
    <s v="USR-100216"/>
    <d v="2025-04-18T00:00:00"/>
    <x v="0"/>
    <x v="3"/>
    <x v="1"/>
    <x v="4"/>
    <s v="Basic"/>
    <n v="0"/>
    <n v="0"/>
    <n v="0"/>
    <n v="0"/>
    <x v="0"/>
    <n v="0"/>
    <n v="0"/>
    <m/>
    <n v="45.4"/>
  </r>
  <r>
    <s v="USR-100217"/>
    <d v="2025-03-27T00:00:00"/>
    <x v="0"/>
    <x v="0"/>
    <x v="1"/>
    <x v="2"/>
    <s v="Basic"/>
    <n v="1"/>
    <n v="0"/>
    <n v="0"/>
    <n v="0"/>
    <x v="0"/>
    <n v="0"/>
    <n v="0"/>
    <m/>
    <n v="53.3"/>
  </r>
  <r>
    <s v="USR-100218"/>
    <d v="2025-02-25T00:00:00"/>
    <x v="0"/>
    <x v="0"/>
    <x v="2"/>
    <x v="4"/>
    <s v="Free"/>
    <n v="1"/>
    <n v="0"/>
    <n v="0"/>
    <n v="0"/>
    <x v="0"/>
    <n v="0"/>
    <n v="0"/>
    <m/>
    <m/>
  </r>
  <r>
    <s v="USR-100219"/>
    <d v="2025-02-19T00:00:00"/>
    <x v="0"/>
    <x v="2"/>
    <x v="1"/>
    <x v="2"/>
    <s v="Free"/>
    <n v="0"/>
    <n v="0"/>
    <n v="0"/>
    <n v="0"/>
    <x v="0"/>
    <n v="1"/>
    <n v="0"/>
    <m/>
    <n v="38.200000000000003"/>
  </r>
  <r>
    <s v="USR-100220"/>
    <d v="2025-04-11T00:00:00"/>
    <x v="0"/>
    <x v="1"/>
    <x v="1"/>
    <x v="2"/>
    <s v="Free"/>
    <n v="1"/>
    <n v="1"/>
    <n v="0"/>
    <n v="0"/>
    <x v="0"/>
    <n v="3"/>
    <n v="0"/>
    <m/>
    <n v="59"/>
  </r>
  <r>
    <s v="USR-100221"/>
    <d v="2025-01-22T00:00:00"/>
    <x v="0"/>
    <x v="2"/>
    <x v="2"/>
    <x v="3"/>
    <s v="Premium"/>
    <n v="1"/>
    <n v="1"/>
    <n v="1"/>
    <n v="0"/>
    <x v="0"/>
    <n v="0"/>
    <n v="0"/>
    <m/>
    <n v="80.599999999999994"/>
  </r>
  <r>
    <s v="USR-100222"/>
    <d v="2025-01-12T00:00:00"/>
    <x v="0"/>
    <x v="3"/>
    <x v="1"/>
    <x v="4"/>
    <s v="Free"/>
    <n v="1"/>
    <n v="0"/>
    <n v="0"/>
    <n v="0"/>
    <x v="0"/>
    <n v="0"/>
    <n v="0"/>
    <m/>
    <n v="67"/>
  </r>
  <r>
    <s v="USR-100223"/>
    <d v="2025-02-17T00:00:00"/>
    <x v="0"/>
    <x v="1"/>
    <x v="1"/>
    <x v="0"/>
    <s v="Free"/>
    <n v="1"/>
    <n v="0"/>
    <n v="0"/>
    <n v="0"/>
    <x v="0"/>
    <n v="1"/>
    <n v="0"/>
    <m/>
    <n v="72.099999999999994"/>
  </r>
  <r>
    <s v="USR-100224"/>
    <d v="2025-04-11T00:00:00"/>
    <x v="0"/>
    <x v="1"/>
    <x v="0"/>
    <x v="1"/>
    <s v="Free"/>
    <n v="0"/>
    <n v="0"/>
    <n v="0"/>
    <n v="0"/>
    <x v="0"/>
    <n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x v="0"/>
    <n v="0"/>
    <n v="0"/>
    <m/>
    <n v="84.8"/>
  </r>
  <r>
    <s v="USR-100226"/>
    <d v="2025-03-12T00:00:00"/>
    <x v="0"/>
    <x v="3"/>
    <x v="1"/>
    <x v="1"/>
    <s v="Basic"/>
    <n v="1"/>
    <n v="0"/>
    <n v="0"/>
    <n v="0"/>
    <x v="0"/>
    <n v="0"/>
    <n v="0"/>
    <m/>
    <n v="33"/>
  </r>
  <r>
    <s v="USR-100227"/>
    <d v="2025-04-20T00:00:00"/>
    <x v="0"/>
    <x v="0"/>
    <x v="2"/>
    <x v="0"/>
    <s v="Free"/>
    <n v="0"/>
    <n v="0"/>
    <n v="0"/>
    <n v="0"/>
    <x v="0"/>
    <n v="0"/>
    <n v="0"/>
    <m/>
    <n v="52.5"/>
  </r>
  <r>
    <s v="USR-100228"/>
    <d v="2025-02-23T00:00:00"/>
    <x v="0"/>
    <x v="0"/>
    <x v="2"/>
    <x v="1"/>
    <s v="Free"/>
    <n v="0"/>
    <n v="0"/>
    <n v="0"/>
    <n v="0"/>
    <x v="0"/>
    <n v="0"/>
    <n v="0"/>
    <m/>
    <n v="66.900000000000006"/>
  </r>
  <r>
    <s v="USR-100229"/>
    <d v="2025-01-24T00:00:00"/>
    <x v="0"/>
    <x v="0"/>
    <x v="1"/>
    <x v="1"/>
    <s v="Basic"/>
    <n v="1"/>
    <n v="1"/>
    <n v="1"/>
    <n v="0"/>
    <x v="0"/>
    <n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x v="0"/>
    <n v="1"/>
    <n v="0"/>
    <m/>
    <n v="70.599999999999994"/>
  </r>
  <r>
    <s v="USR-100231"/>
    <d v="2025-02-17T00:00:00"/>
    <x v="0"/>
    <x v="0"/>
    <x v="1"/>
    <x v="4"/>
    <s v="Free"/>
    <n v="0"/>
    <n v="0"/>
    <n v="0"/>
    <n v="0"/>
    <x v="0"/>
    <n v="0"/>
    <n v="0"/>
    <m/>
    <n v="69.400000000000006"/>
  </r>
  <r>
    <s v="USR-100232"/>
    <d v="2025-05-04T00:00:00"/>
    <x v="0"/>
    <x v="0"/>
    <x v="0"/>
    <x v="1"/>
    <s v="Basic"/>
    <n v="1"/>
    <n v="0"/>
    <n v="0"/>
    <n v="0"/>
    <x v="0"/>
    <n v="0"/>
    <n v="0"/>
    <m/>
    <n v="56.1"/>
  </r>
  <r>
    <s v="USR-100233"/>
    <d v="2025-01-12T00:00:00"/>
    <x v="0"/>
    <x v="1"/>
    <x v="1"/>
    <x v="1"/>
    <s v="Basic"/>
    <n v="0"/>
    <n v="0"/>
    <n v="0"/>
    <n v="0"/>
    <x v="0"/>
    <n v="0"/>
    <n v="0"/>
    <m/>
    <n v="55.8"/>
  </r>
  <r>
    <s v="USR-100234"/>
    <d v="2025-04-28T00:00:00"/>
    <x v="0"/>
    <x v="0"/>
    <x v="2"/>
    <x v="1"/>
    <s v="Free"/>
    <n v="0"/>
    <n v="0"/>
    <n v="0"/>
    <n v="0"/>
    <x v="0"/>
    <n v="0"/>
    <n v="0"/>
    <m/>
    <n v="49.3"/>
  </r>
  <r>
    <s v="USR-100235"/>
    <d v="2025-02-26T00:00:00"/>
    <x v="0"/>
    <x v="0"/>
    <x v="1"/>
    <x v="1"/>
    <s v="Free"/>
    <n v="0"/>
    <n v="0"/>
    <n v="0"/>
    <n v="0"/>
    <x v="0"/>
    <n v="0"/>
    <n v="0"/>
    <m/>
    <n v="71.8"/>
  </r>
  <r>
    <s v="USR-100236"/>
    <d v="2025-03-18T00:00:00"/>
    <x v="0"/>
    <x v="1"/>
    <x v="1"/>
    <x v="4"/>
    <s v="Free"/>
    <n v="1"/>
    <n v="0"/>
    <n v="0"/>
    <n v="0"/>
    <x v="0"/>
    <n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x v="0"/>
    <n v="0"/>
    <n v="0"/>
    <m/>
    <n v="45.4"/>
  </r>
  <r>
    <s v="USR-100238"/>
    <d v="2025-04-05T00:00:00"/>
    <x v="0"/>
    <x v="0"/>
    <x v="0"/>
    <x v="4"/>
    <s v="Premium"/>
    <n v="1"/>
    <n v="0"/>
    <n v="0"/>
    <n v="0"/>
    <x v="0"/>
    <n v="0"/>
    <n v="0"/>
    <m/>
    <n v="69.900000000000006"/>
  </r>
  <r>
    <s v="USR-100239"/>
    <d v="2025-03-12T00:00:00"/>
    <x v="0"/>
    <x v="0"/>
    <x v="0"/>
    <x v="4"/>
    <s v="Free"/>
    <n v="1"/>
    <n v="1"/>
    <n v="1"/>
    <n v="0"/>
    <x v="0"/>
    <n v="0"/>
    <n v="0"/>
    <m/>
    <n v="56.1"/>
  </r>
  <r>
    <s v="USR-100240"/>
    <d v="2025-03-15T00:00:00"/>
    <x v="0"/>
    <x v="1"/>
    <x v="1"/>
    <x v="3"/>
    <s v="Basic"/>
    <n v="1"/>
    <n v="1"/>
    <n v="0"/>
    <n v="0"/>
    <x v="0"/>
    <n v="0"/>
    <n v="0"/>
    <m/>
    <n v="45.9"/>
  </r>
  <r>
    <s v="USR-100241"/>
    <d v="2025-02-23T00:00:00"/>
    <x v="0"/>
    <x v="1"/>
    <x v="1"/>
    <x v="0"/>
    <s v="Free"/>
    <n v="0"/>
    <n v="0"/>
    <n v="0"/>
    <n v="0"/>
    <x v="0"/>
    <n v="0"/>
    <n v="0"/>
    <m/>
    <n v="65.8"/>
  </r>
  <r>
    <s v="USR-100242"/>
    <d v="2025-04-22T00:00:00"/>
    <x v="0"/>
    <x v="0"/>
    <x v="1"/>
    <x v="1"/>
    <s v="Basic"/>
    <n v="1"/>
    <n v="0"/>
    <n v="0"/>
    <n v="0"/>
    <x v="0"/>
    <n v="0"/>
    <n v="0"/>
    <m/>
    <n v="48.2"/>
  </r>
  <r>
    <s v="USR-100243"/>
    <d v="2025-01-09T00:00:00"/>
    <x v="0"/>
    <x v="2"/>
    <x v="1"/>
    <x v="1"/>
    <s v="Basic"/>
    <n v="1"/>
    <n v="1"/>
    <n v="1"/>
    <n v="0"/>
    <x v="0"/>
    <n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x v="0"/>
    <n v="0"/>
    <n v="0"/>
    <m/>
    <n v="53.2"/>
  </r>
  <r>
    <s v="USR-100245"/>
    <d v="2025-01-28T00:00:00"/>
    <x v="0"/>
    <x v="0"/>
    <x v="1"/>
    <x v="4"/>
    <s v="Free"/>
    <n v="1"/>
    <n v="1"/>
    <n v="1"/>
    <n v="0"/>
    <x v="0"/>
    <n v="0"/>
    <n v="0"/>
    <m/>
    <n v="57.7"/>
  </r>
  <r>
    <s v="USR-100246"/>
    <d v="2025-01-21T00:00:00"/>
    <x v="0"/>
    <x v="1"/>
    <x v="1"/>
    <x v="2"/>
    <s v="Premium"/>
    <n v="1"/>
    <n v="1"/>
    <n v="0"/>
    <n v="0"/>
    <x v="0"/>
    <n v="0"/>
    <n v="0"/>
    <m/>
    <n v="78.900000000000006"/>
  </r>
  <r>
    <s v="USR-100247"/>
    <d v="2025-03-14T00:00:00"/>
    <x v="0"/>
    <x v="3"/>
    <x v="1"/>
    <x v="3"/>
    <s v="Basic"/>
    <n v="0"/>
    <n v="0"/>
    <n v="0"/>
    <n v="0"/>
    <x v="0"/>
    <n v="0"/>
    <n v="0"/>
    <m/>
    <n v="55.7"/>
  </r>
  <r>
    <s v="USR-100248"/>
    <d v="2025-02-03T00:00:00"/>
    <x v="0"/>
    <x v="1"/>
    <x v="1"/>
    <x v="2"/>
    <s v="Free"/>
    <n v="0"/>
    <n v="0"/>
    <n v="0"/>
    <n v="0"/>
    <x v="0"/>
    <n v="0"/>
    <n v="0"/>
    <m/>
    <n v="52.3"/>
  </r>
  <r>
    <s v="USR-100249"/>
    <d v="2025-05-22T00:00:00"/>
    <x v="0"/>
    <x v="0"/>
    <x v="1"/>
    <x v="4"/>
    <s v="Free"/>
    <n v="1"/>
    <n v="0"/>
    <n v="0"/>
    <n v="0"/>
    <x v="0"/>
    <n v="0"/>
    <n v="0"/>
    <m/>
    <n v="51.5"/>
  </r>
  <r>
    <s v="USR-100250"/>
    <d v="2025-04-25T00:00:00"/>
    <x v="0"/>
    <x v="0"/>
    <x v="0"/>
    <x v="0"/>
    <s v="Free"/>
    <n v="1"/>
    <n v="0"/>
    <n v="0"/>
    <n v="0"/>
    <x v="0"/>
    <n v="0"/>
    <n v="0"/>
    <m/>
    <n v="70.8"/>
  </r>
  <r>
    <s v="USR-100251"/>
    <d v="2025-01-30T00:00:00"/>
    <x v="0"/>
    <x v="0"/>
    <x v="0"/>
    <x v="0"/>
    <s v="Basic"/>
    <n v="1"/>
    <n v="1"/>
    <n v="1"/>
    <n v="1"/>
    <x v="11"/>
    <n v="0"/>
    <n v="0"/>
    <n v="10"/>
    <n v="39"/>
  </r>
  <r>
    <s v="USR-100252"/>
    <d v="2025-05-23T00:00:00"/>
    <x v="0"/>
    <x v="1"/>
    <x v="1"/>
    <x v="1"/>
    <s v="Free"/>
    <n v="1"/>
    <n v="0"/>
    <n v="0"/>
    <n v="0"/>
    <x v="0"/>
    <n v="0"/>
    <n v="0"/>
    <m/>
    <n v="61.6"/>
  </r>
  <r>
    <s v="USR-100253"/>
    <d v="2025-02-14T00:00:00"/>
    <x v="0"/>
    <x v="2"/>
    <x v="0"/>
    <x v="1"/>
    <s v="Free"/>
    <n v="1"/>
    <n v="1"/>
    <n v="1"/>
    <n v="0"/>
    <x v="0"/>
    <n v="0"/>
    <n v="0"/>
    <m/>
    <n v="46.8"/>
  </r>
  <r>
    <s v="USR-100254"/>
    <d v="2025-03-05T00:00:00"/>
    <x v="0"/>
    <x v="0"/>
    <x v="1"/>
    <x v="2"/>
    <s v="Premium"/>
    <n v="0"/>
    <n v="0"/>
    <n v="0"/>
    <n v="0"/>
    <x v="0"/>
    <n v="1"/>
    <n v="0"/>
    <m/>
    <n v="58.5"/>
  </r>
  <r>
    <s v="USR-100255"/>
    <d v="2025-05-27T00:00:00"/>
    <x v="0"/>
    <x v="0"/>
    <x v="1"/>
    <x v="2"/>
    <s v="Basic"/>
    <n v="0"/>
    <n v="0"/>
    <n v="0"/>
    <n v="0"/>
    <x v="0"/>
    <n v="0"/>
    <n v="0"/>
    <m/>
    <n v="70.900000000000006"/>
  </r>
  <r>
    <s v="USR-100256"/>
    <d v="2025-01-07T00:00:00"/>
    <x v="0"/>
    <x v="3"/>
    <x v="1"/>
    <x v="2"/>
    <s v="Free"/>
    <n v="1"/>
    <n v="0"/>
    <n v="0"/>
    <n v="0"/>
    <x v="0"/>
    <n v="0"/>
    <n v="0"/>
    <m/>
    <n v="48.4"/>
  </r>
  <r>
    <s v="USR-100257"/>
    <d v="2025-04-21T00:00:00"/>
    <x v="0"/>
    <x v="0"/>
    <x v="1"/>
    <x v="0"/>
    <s v="Free"/>
    <n v="1"/>
    <n v="0"/>
    <n v="0"/>
    <n v="0"/>
    <x v="0"/>
    <n v="0"/>
    <n v="0"/>
    <m/>
    <n v="58"/>
  </r>
  <r>
    <s v="USR-100258"/>
    <d v="2025-05-13T00:00:00"/>
    <x v="0"/>
    <x v="0"/>
    <x v="1"/>
    <x v="2"/>
    <s v="Free"/>
    <n v="0"/>
    <n v="0"/>
    <n v="0"/>
    <n v="0"/>
    <x v="0"/>
    <n v="0"/>
    <n v="0"/>
    <m/>
    <n v="61.6"/>
  </r>
  <r>
    <s v="USR-100259"/>
    <d v="2025-01-28T00:00:00"/>
    <x v="0"/>
    <x v="2"/>
    <x v="0"/>
    <x v="1"/>
    <s v="Free"/>
    <n v="1"/>
    <n v="0"/>
    <n v="0"/>
    <n v="0"/>
    <x v="0"/>
    <n v="0"/>
    <n v="0"/>
    <m/>
    <n v="43.2"/>
  </r>
  <r>
    <s v="USR-100260"/>
    <d v="2025-03-16T00:00:00"/>
    <x v="0"/>
    <x v="2"/>
    <x v="0"/>
    <x v="2"/>
    <s v="Basic"/>
    <n v="1"/>
    <n v="0"/>
    <n v="0"/>
    <n v="0"/>
    <x v="0"/>
    <n v="1"/>
    <n v="0"/>
    <m/>
    <n v="53.3"/>
  </r>
  <r>
    <s v="USR-100261"/>
    <d v="2025-04-10T00:00:00"/>
    <x v="0"/>
    <x v="2"/>
    <x v="0"/>
    <x v="4"/>
    <s v="Basic"/>
    <n v="0"/>
    <n v="0"/>
    <n v="0"/>
    <n v="0"/>
    <x v="0"/>
    <n v="0"/>
    <n v="0"/>
    <m/>
    <n v="33.9"/>
  </r>
  <r>
    <s v="USR-100262"/>
    <d v="2025-03-15T00:00:00"/>
    <x v="0"/>
    <x v="2"/>
    <x v="0"/>
    <x v="3"/>
    <s v="Free"/>
    <n v="1"/>
    <n v="1"/>
    <n v="1"/>
    <n v="0"/>
    <x v="0"/>
    <n v="0"/>
    <n v="0"/>
    <m/>
    <n v="35.4"/>
  </r>
  <r>
    <s v="USR-100263"/>
    <d v="2025-04-07T00:00:00"/>
    <x v="0"/>
    <x v="1"/>
    <x v="0"/>
    <x v="1"/>
    <s v="Basic"/>
    <n v="1"/>
    <n v="0"/>
    <n v="0"/>
    <n v="0"/>
    <x v="0"/>
    <n v="0"/>
    <n v="0"/>
    <m/>
    <n v="45"/>
  </r>
  <r>
    <s v="USR-100264"/>
    <d v="2025-02-12T00:00:00"/>
    <x v="0"/>
    <x v="3"/>
    <x v="1"/>
    <x v="1"/>
    <s v="Free"/>
    <n v="1"/>
    <n v="1"/>
    <n v="0"/>
    <n v="0"/>
    <x v="0"/>
    <n v="0"/>
    <n v="0"/>
    <m/>
    <n v="86.5"/>
  </r>
  <r>
    <s v="USR-100265"/>
    <d v="2025-05-05T00:00:00"/>
    <x v="0"/>
    <x v="1"/>
    <x v="1"/>
    <x v="4"/>
    <s v="Free"/>
    <n v="0"/>
    <n v="0"/>
    <n v="0"/>
    <n v="0"/>
    <x v="0"/>
    <n v="0"/>
    <n v="0"/>
    <m/>
    <n v="58.1"/>
  </r>
  <r>
    <s v="USR-100266"/>
    <d v="2025-03-11T00:00:00"/>
    <x v="0"/>
    <x v="1"/>
    <x v="1"/>
    <x v="3"/>
    <s v="Free"/>
    <n v="1"/>
    <n v="0"/>
    <n v="0"/>
    <n v="0"/>
    <x v="0"/>
    <n v="0"/>
    <n v="0"/>
    <m/>
    <n v="36.1"/>
  </r>
  <r>
    <s v="USR-100267"/>
    <d v="2025-02-10T00:00:00"/>
    <x v="0"/>
    <x v="2"/>
    <x v="1"/>
    <x v="4"/>
    <s v="Free"/>
    <n v="0"/>
    <n v="0"/>
    <n v="0"/>
    <n v="0"/>
    <x v="0"/>
    <n v="0"/>
    <n v="0"/>
    <m/>
    <n v="62.8"/>
  </r>
  <r>
    <s v="USR-100268"/>
    <d v="2025-04-06T00:00:00"/>
    <x v="0"/>
    <x v="3"/>
    <x v="1"/>
    <x v="1"/>
    <s v="Free"/>
    <n v="0"/>
    <n v="0"/>
    <n v="0"/>
    <n v="0"/>
    <x v="0"/>
    <n v="0"/>
    <n v="0"/>
    <m/>
    <n v="54.2"/>
  </r>
  <r>
    <s v="USR-100269"/>
    <d v="2025-01-06T00:00:00"/>
    <x v="0"/>
    <x v="2"/>
    <x v="1"/>
    <x v="3"/>
    <s v="Free"/>
    <n v="0"/>
    <n v="0"/>
    <n v="0"/>
    <n v="0"/>
    <x v="0"/>
    <n v="0"/>
    <n v="0"/>
    <m/>
    <n v="50"/>
  </r>
  <r>
    <s v="USR-100270"/>
    <d v="2025-03-25T00:00:00"/>
    <x v="0"/>
    <x v="2"/>
    <x v="2"/>
    <x v="2"/>
    <s v="Basic"/>
    <n v="1"/>
    <n v="0"/>
    <n v="0"/>
    <n v="0"/>
    <x v="0"/>
    <n v="0"/>
    <n v="0"/>
    <m/>
    <n v="62"/>
  </r>
  <r>
    <s v="USR-100271"/>
    <d v="2025-02-13T00:00:00"/>
    <x v="0"/>
    <x v="2"/>
    <x v="0"/>
    <x v="3"/>
    <s v="Free"/>
    <n v="1"/>
    <n v="0"/>
    <n v="0"/>
    <n v="0"/>
    <x v="0"/>
    <n v="0"/>
    <n v="0"/>
    <m/>
    <n v="29.3"/>
  </r>
  <r>
    <s v="USR-100272"/>
    <d v="2025-03-17T00:00:00"/>
    <x v="0"/>
    <x v="1"/>
    <x v="0"/>
    <x v="1"/>
    <s v="Free"/>
    <n v="1"/>
    <n v="0"/>
    <n v="0"/>
    <n v="0"/>
    <x v="0"/>
    <n v="0"/>
    <n v="0"/>
    <m/>
    <n v="67.900000000000006"/>
  </r>
  <r>
    <s v="USR-100273"/>
    <d v="2025-05-10T00:00:00"/>
    <x v="0"/>
    <x v="0"/>
    <x v="1"/>
    <x v="3"/>
    <s v="Free"/>
    <n v="1"/>
    <n v="1"/>
    <n v="1"/>
    <n v="0"/>
    <x v="0"/>
    <n v="0"/>
    <n v="0"/>
    <m/>
    <n v="67.599999999999994"/>
  </r>
  <r>
    <s v="USR-100274"/>
    <d v="2025-05-07T00:00:00"/>
    <x v="0"/>
    <x v="3"/>
    <x v="1"/>
    <x v="2"/>
    <s v="Basic"/>
    <n v="0"/>
    <n v="0"/>
    <n v="0"/>
    <n v="0"/>
    <x v="0"/>
    <n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x v="0"/>
    <n v="2"/>
    <n v="0"/>
    <m/>
    <n v="53"/>
  </r>
  <r>
    <s v="USR-100276"/>
    <d v="2025-05-11T00:00:00"/>
    <x v="0"/>
    <x v="0"/>
    <x v="1"/>
    <x v="1"/>
    <s v="Basic"/>
    <n v="0"/>
    <n v="0"/>
    <n v="0"/>
    <n v="0"/>
    <x v="0"/>
    <n v="0"/>
    <n v="0"/>
    <m/>
    <n v="65.5"/>
  </r>
  <r>
    <s v="USR-100277"/>
    <d v="2025-03-20T00:00:00"/>
    <x v="0"/>
    <x v="3"/>
    <x v="1"/>
    <x v="1"/>
    <s v="Basic"/>
    <n v="1"/>
    <n v="1"/>
    <n v="0"/>
    <n v="0"/>
    <x v="0"/>
    <n v="0"/>
    <n v="0"/>
    <m/>
    <n v="49.6"/>
  </r>
  <r>
    <s v="USR-100278"/>
    <d v="2025-01-19T00:00:00"/>
    <x v="0"/>
    <x v="0"/>
    <x v="1"/>
    <x v="0"/>
    <s v="Free"/>
    <n v="1"/>
    <n v="1"/>
    <n v="0"/>
    <n v="0"/>
    <x v="0"/>
    <n v="0"/>
    <n v="0"/>
    <m/>
    <n v="74.5"/>
  </r>
  <r>
    <s v="USR-100279"/>
    <d v="2025-03-08T00:00:00"/>
    <x v="0"/>
    <x v="0"/>
    <x v="2"/>
    <x v="2"/>
    <s v="Premium"/>
    <n v="1"/>
    <n v="0"/>
    <n v="0"/>
    <n v="0"/>
    <x v="0"/>
    <n v="1"/>
    <n v="0"/>
    <m/>
    <n v="46.9"/>
  </r>
  <r>
    <s v="USR-100280"/>
    <d v="2025-04-25T00:00:00"/>
    <x v="0"/>
    <x v="0"/>
    <x v="1"/>
    <x v="1"/>
    <s v="Free"/>
    <n v="0"/>
    <n v="0"/>
    <n v="0"/>
    <n v="0"/>
    <x v="0"/>
    <n v="0"/>
    <n v="0"/>
    <m/>
    <n v="87.1"/>
  </r>
  <r>
    <s v="USR-100281"/>
    <d v="2025-04-04T00:00:00"/>
    <x v="0"/>
    <x v="0"/>
    <x v="0"/>
    <x v="1"/>
    <s v="Free"/>
    <n v="1"/>
    <n v="0"/>
    <n v="0"/>
    <n v="0"/>
    <x v="0"/>
    <n v="0"/>
    <n v="0"/>
    <m/>
    <n v="56"/>
  </r>
  <r>
    <s v="USR-100282"/>
    <d v="2025-05-01T00:00:00"/>
    <x v="0"/>
    <x v="2"/>
    <x v="1"/>
    <x v="2"/>
    <s v="Premium"/>
    <n v="1"/>
    <n v="0"/>
    <n v="0"/>
    <n v="0"/>
    <x v="0"/>
    <n v="1"/>
    <n v="0"/>
    <m/>
    <n v="61.7"/>
  </r>
  <r>
    <s v="USR-100283"/>
    <d v="2025-01-21T00:00:00"/>
    <x v="0"/>
    <x v="3"/>
    <x v="1"/>
    <x v="4"/>
    <s v="Free"/>
    <n v="1"/>
    <n v="0"/>
    <n v="0"/>
    <n v="0"/>
    <x v="0"/>
    <n v="1"/>
    <n v="0"/>
    <m/>
    <n v="70.5"/>
  </r>
  <r>
    <s v="USR-100284"/>
    <d v="2025-02-10T00:00:00"/>
    <x v="0"/>
    <x v="0"/>
    <x v="0"/>
    <x v="3"/>
    <s v="Basic"/>
    <n v="1"/>
    <n v="0"/>
    <n v="0"/>
    <n v="0"/>
    <x v="0"/>
    <n v="0"/>
    <n v="0"/>
    <m/>
    <n v="33.4"/>
  </r>
  <r>
    <s v="USR-100285"/>
    <d v="2025-05-06T00:00:00"/>
    <x v="0"/>
    <x v="3"/>
    <x v="0"/>
    <x v="1"/>
    <s v="Free"/>
    <n v="1"/>
    <n v="0"/>
    <n v="0"/>
    <n v="0"/>
    <x v="0"/>
    <n v="0"/>
    <n v="0"/>
    <m/>
    <n v="57.5"/>
  </r>
  <r>
    <s v="USR-100286"/>
    <d v="2025-02-08T00:00:00"/>
    <x v="0"/>
    <x v="0"/>
    <x v="0"/>
    <x v="2"/>
    <s v="Basic"/>
    <n v="1"/>
    <n v="1"/>
    <n v="0"/>
    <n v="0"/>
    <x v="0"/>
    <n v="0"/>
    <n v="0"/>
    <m/>
    <n v="85.7"/>
  </r>
  <r>
    <s v="USR-100287"/>
    <d v="2025-05-31T00:00:00"/>
    <x v="0"/>
    <x v="2"/>
    <x v="1"/>
    <x v="4"/>
    <s v="Free"/>
    <n v="1"/>
    <n v="0"/>
    <n v="0"/>
    <n v="0"/>
    <x v="0"/>
    <n v="0"/>
    <n v="0"/>
    <m/>
    <n v="41.9"/>
  </r>
  <r>
    <s v="USR-100288"/>
    <d v="2025-02-07T00:00:00"/>
    <x v="0"/>
    <x v="1"/>
    <x v="1"/>
    <x v="0"/>
    <s v="Basic"/>
    <n v="1"/>
    <n v="0"/>
    <n v="0"/>
    <n v="0"/>
    <x v="0"/>
    <n v="0"/>
    <n v="0"/>
    <m/>
    <n v="70.2"/>
  </r>
  <r>
    <s v="USR-100289"/>
    <d v="2025-02-10T00:00:00"/>
    <x v="0"/>
    <x v="0"/>
    <x v="1"/>
    <x v="4"/>
    <s v="Free"/>
    <n v="1"/>
    <n v="0"/>
    <n v="0"/>
    <n v="0"/>
    <x v="0"/>
    <n v="0"/>
    <n v="0"/>
    <m/>
    <n v="42.6"/>
  </r>
  <r>
    <s v="USR-100290"/>
    <d v="2025-01-31T00:00:00"/>
    <x v="0"/>
    <x v="1"/>
    <x v="1"/>
    <x v="4"/>
    <s v="Basic"/>
    <n v="0"/>
    <n v="0"/>
    <n v="0"/>
    <n v="0"/>
    <x v="0"/>
    <n v="2"/>
    <n v="0"/>
    <m/>
    <n v="30.4"/>
  </r>
  <r>
    <s v="USR-100291"/>
    <d v="2025-03-16T00:00:00"/>
    <x v="0"/>
    <x v="2"/>
    <x v="1"/>
    <x v="2"/>
    <s v="Basic"/>
    <n v="1"/>
    <n v="0"/>
    <n v="0"/>
    <n v="0"/>
    <x v="0"/>
    <n v="0"/>
    <n v="0"/>
    <m/>
    <n v="63.7"/>
  </r>
  <r>
    <s v="USR-100292"/>
    <d v="2025-04-24T00:00:00"/>
    <x v="0"/>
    <x v="3"/>
    <x v="1"/>
    <x v="4"/>
    <s v="Basic"/>
    <n v="0"/>
    <n v="0"/>
    <n v="0"/>
    <n v="0"/>
    <x v="0"/>
    <n v="0"/>
    <n v="0"/>
    <m/>
    <n v="42.7"/>
  </r>
  <r>
    <s v="USR-100293"/>
    <d v="2025-01-28T00:00:00"/>
    <x v="0"/>
    <x v="0"/>
    <x v="1"/>
    <x v="1"/>
    <s v="Free"/>
    <n v="0"/>
    <n v="0"/>
    <n v="0"/>
    <n v="0"/>
    <x v="0"/>
    <n v="0"/>
    <n v="0"/>
    <m/>
    <n v="74.3"/>
  </r>
  <r>
    <s v="USR-100294"/>
    <d v="2025-02-16T00:00:00"/>
    <x v="0"/>
    <x v="1"/>
    <x v="0"/>
    <x v="0"/>
    <s v="Free"/>
    <n v="1"/>
    <n v="0"/>
    <n v="0"/>
    <n v="0"/>
    <x v="0"/>
    <n v="0"/>
    <n v="0"/>
    <m/>
    <n v="40.6"/>
  </r>
  <r>
    <s v="USR-100295"/>
    <d v="2025-03-23T00:00:00"/>
    <x v="0"/>
    <x v="2"/>
    <x v="1"/>
    <x v="1"/>
    <s v="Premium"/>
    <n v="0"/>
    <n v="0"/>
    <n v="0"/>
    <n v="0"/>
    <x v="0"/>
    <n v="0"/>
    <n v="0"/>
    <m/>
    <n v="67"/>
  </r>
  <r>
    <s v="USR-100296"/>
    <d v="2025-05-31T00:00:00"/>
    <x v="0"/>
    <x v="2"/>
    <x v="1"/>
    <x v="2"/>
    <s v="Premium"/>
    <n v="0"/>
    <n v="0"/>
    <n v="0"/>
    <n v="0"/>
    <x v="0"/>
    <n v="0"/>
    <n v="0"/>
    <m/>
    <n v="51"/>
  </r>
  <r>
    <s v="USR-100297"/>
    <d v="2025-04-13T00:00:00"/>
    <x v="0"/>
    <x v="1"/>
    <x v="1"/>
    <x v="4"/>
    <s v="Basic"/>
    <n v="1"/>
    <n v="1"/>
    <n v="0"/>
    <n v="0"/>
    <x v="0"/>
    <n v="1"/>
    <n v="0"/>
    <m/>
    <n v="54.8"/>
  </r>
  <r>
    <s v="USR-100298"/>
    <d v="2025-05-14T00:00:00"/>
    <x v="0"/>
    <x v="0"/>
    <x v="2"/>
    <x v="0"/>
    <s v="Basic"/>
    <n v="0"/>
    <n v="0"/>
    <n v="0"/>
    <n v="0"/>
    <x v="0"/>
    <n v="0"/>
    <n v="0"/>
    <m/>
    <n v="40.799999999999997"/>
  </r>
  <r>
    <s v="USR-100299"/>
    <d v="2025-02-19T00:00:00"/>
    <x v="0"/>
    <x v="2"/>
    <x v="1"/>
    <x v="2"/>
    <s v="Free"/>
    <n v="0"/>
    <n v="0"/>
    <n v="0"/>
    <n v="0"/>
    <x v="0"/>
    <n v="0"/>
    <n v="0"/>
    <m/>
    <n v="48.8"/>
  </r>
  <r>
    <s v="USR-100300"/>
    <d v="2025-01-24T00:00:00"/>
    <x v="0"/>
    <x v="3"/>
    <x v="1"/>
    <x v="5"/>
    <s v="Basic"/>
    <n v="1"/>
    <n v="1"/>
    <n v="1"/>
    <n v="1"/>
    <x v="12"/>
    <n v="1"/>
    <n v="0"/>
    <n v="6"/>
    <n v="88.9"/>
  </r>
  <r>
    <s v="USR-100301"/>
    <d v="2025-05-09T00:00:00"/>
    <x v="0"/>
    <x v="0"/>
    <x v="1"/>
    <x v="0"/>
    <s v="Basic"/>
    <n v="1"/>
    <n v="1"/>
    <n v="1"/>
    <n v="0"/>
    <x v="0"/>
    <n v="1"/>
    <n v="0"/>
    <m/>
    <n v="60.5"/>
  </r>
  <r>
    <s v="USR-100302"/>
    <d v="2025-02-11T00:00:00"/>
    <x v="0"/>
    <x v="0"/>
    <x v="1"/>
    <x v="1"/>
    <s v="Basic"/>
    <n v="1"/>
    <n v="0"/>
    <n v="0"/>
    <n v="0"/>
    <x v="0"/>
    <n v="0"/>
    <n v="0"/>
    <m/>
    <n v="63.6"/>
  </r>
  <r>
    <s v="USR-100303"/>
    <d v="2025-02-26T00:00:00"/>
    <x v="0"/>
    <x v="0"/>
    <x v="0"/>
    <x v="1"/>
    <s v="Basic"/>
    <n v="1"/>
    <n v="1"/>
    <n v="1"/>
    <n v="1"/>
    <x v="13"/>
    <n v="0"/>
    <n v="0"/>
    <n v="17"/>
    <n v="58.4"/>
  </r>
  <r>
    <s v="USR-100304"/>
    <d v="2025-02-12T00:00:00"/>
    <x v="0"/>
    <x v="3"/>
    <x v="1"/>
    <x v="4"/>
    <s v="Premium"/>
    <n v="0"/>
    <n v="0"/>
    <n v="0"/>
    <n v="0"/>
    <x v="0"/>
    <n v="0"/>
    <n v="0"/>
    <m/>
    <n v="52.7"/>
  </r>
  <r>
    <s v="USR-100305"/>
    <d v="2025-01-05T00:00:00"/>
    <x v="0"/>
    <x v="3"/>
    <x v="2"/>
    <x v="4"/>
    <s v="Premium"/>
    <n v="1"/>
    <n v="1"/>
    <n v="1"/>
    <n v="0"/>
    <x v="0"/>
    <n v="2"/>
    <n v="0"/>
    <m/>
    <n v="48.9"/>
  </r>
  <r>
    <s v="USR-100306"/>
    <d v="2025-05-19T00:00:00"/>
    <x v="0"/>
    <x v="1"/>
    <x v="1"/>
    <x v="1"/>
    <s v="Premium"/>
    <n v="0"/>
    <n v="0"/>
    <n v="0"/>
    <n v="0"/>
    <x v="0"/>
    <n v="0"/>
    <n v="0"/>
    <m/>
    <n v="79.7"/>
  </r>
  <r>
    <s v="USR-100307"/>
    <d v="2025-02-02T00:00:00"/>
    <x v="0"/>
    <x v="0"/>
    <x v="1"/>
    <x v="4"/>
    <s v="Free"/>
    <n v="1"/>
    <n v="0"/>
    <n v="0"/>
    <n v="0"/>
    <x v="0"/>
    <n v="0"/>
    <n v="0"/>
    <m/>
    <n v="44.9"/>
  </r>
  <r>
    <s v="USR-100308"/>
    <d v="2025-01-30T00:00:00"/>
    <x v="0"/>
    <x v="1"/>
    <x v="2"/>
    <x v="2"/>
    <s v="Free"/>
    <n v="1"/>
    <n v="1"/>
    <n v="1"/>
    <n v="1"/>
    <x v="14"/>
    <n v="0"/>
    <n v="0"/>
    <n v="10"/>
    <n v="38.799999999999997"/>
  </r>
  <r>
    <s v="USR-100309"/>
    <d v="2025-05-01T00:00:00"/>
    <x v="0"/>
    <x v="3"/>
    <x v="0"/>
    <x v="0"/>
    <s v="Free"/>
    <n v="0"/>
    <n v="0"/>
    <n v="0"/>
    <n v="0"/>
    <x v="0"/>
    <n v="0"/>
    <n v="0"/>
    <m/>
    <n v="70"/>
  </r>
  <r>
    <s v="USR-100310"/>
    <d v="2025-05-16T00:00:00"/>
    <x v="0"/>
    <x v="3"/>
    <x v="0"/>
    <x v="3"/>
    <s v="Basic"/>
    <n v="1"/>
    <n v="0"/>
    <n v="0"/>
    <n v="0"/>
    <x v="0"/>
    <n v="0"/>
    <n v="0"/>
    <m/>
    <n v="77.7"/>
  </r>
  <r>
    <s v="USR-100311"/>
    <d v="2025-03-08T00:00:00"/>
    <x v="0"/>
    <x v="1"/>
    <x v="1"/>
    <x v="1"/>
    <s v="Free"/>
    <n v="0"/>
    <n v="0"/>
    <n v="0"/>
    <n v="0"/>
    <x v="0"/>
    <n v="0"/>
    <n v="0"/>
    <m/>
    <n v="71.2"/>
  </r>
  <r>
    <s v="USR-100312"/>
    <d v="2025-04-04T00:00:00"/>
    <x v="0"/>
    <x v="0"/>
    <x v="1"/>
    <x v="1"/>
    <s v="Basic"/>
    <n v="1"/>
    <n v="0"/>
    <n v="0"/>
    <n v="0"/>
    <x v="0"/>
    <n v="0"/>
    <n v="0"/>
    <m/>
    <n v="43.8"/>
  </r>
  <r>
    <s v="USR-100313"/>
    <d v="2025-05-30T00:00:00"/>
    <x v="0"/>
    <x v="3"/>
    <x v="2"/>
    <x v="1"/>
    <s v="Free"/>
    <n v="1"/>
    <n v="0"/>
    <n v="0"/>
    <n v="0"/>
    <x v="0"/>
    <n v="0"/>
    <n v="0"/>
    <m/>
    <n v="50.9"/>
  </r>
  <r>
    <s v="USR-100314"/>
    <d v="2025-01-05T00:00:00"/>
    <x v="0"/>
    <x v="1"/>
    <x v="1"/>
    <x v="1"/>
    <s v="Premium"/>
    <n v="0"/>
    <n v="0"/>
    <n v="0"/>
    <n v="0"/>
    <x v="0"/>
    <n v="0"/>
    <n v="0"/>
    <m/>
    <n v="58.5"/>
  </r>
  <r>
    <s v="USR-100315"/>
    <d v="2025-01-20T00:00:00"/>
    <x v="0"/>
    <x v="2"/>
    <x v="1"/>
    <x v="1"/>
    <s v="Free"/>
    <n v="1"/>
    <n v="1"/>
    <n v="1"/>
    <n v="0"/>
    <x v="0"/>
    <n v="0"/>
    <n v="0"/>
    <m/>
    <n v="53.6"/>
  </r>
  <r>
    <s v="USR-100316"/>
    <d v="2025-05-01T00:00:00"/>
    <x v="0"/>
    <x v="2"/>
    <x v="1"/>
    <x v="0"/>
    <s v="Free"/>
    <n v="0"/>
    <n v="0"/>
    <n v="0"/>
    <n v="0"/>
    <x v="0"/>
    <n v="0"/>
    <n v="0"/>
    <m/>
    <n v="54.9"/>
  </r>
  <r>
    <s v="USR-100317"/>
    <d v="2025-03-05T00:00:00"/>
    <x v="0"/>
    <x v="0"/>
    <x v="0"/>
    <x v="1"/>
    <s v="Premium"/>
    <n v="0"/>
    <n v="0"/>
    <n v="0"/>
    <n v="0"/>
    <x v="0"/>
    <n v="0"/>
    <n v="0"/>
    <m/>
    <n v="57.3"/>
  </r>
  <r>
    <s v="USR-100318"/>
    <d v="2025-04-01T00:00:00"/>
    <x v="0"/>
    <x v="2"/>
    <x v="0"/>
    <x v="3"/>
    <s v="Free"/>
    <n v="1"/>
    <n v="0"/>
    <n v="0"/>
    <n v="0"/>
    <x v="0"/>
    <n v="0"/>
    <n v="0"/>
    <m/>
    <n v="52.1"/>
  </r>
  <r>
    <s v="USR-100319"/>
    <d v="2025-05-03T00:00:00"/>
    <x v="0"/>
    <x v="0"/>
    <x v="1"/>
    <x v="1"/>
    <s v="Free"/>
    <n v="1"/>
    <n v="0"/>
    <n v="0"/>
    <n v="0"/>
    <x v="0"/>
    <n v="0"/>
    <n v="0"/>
    <m/>
    <n v="80"/>
  </r>
  <r>
    <s v="USR-100320"/>
    <d v="2025-03-06T00:00:00"/>
    <x v="0"/>
    <x v="3"/>
    <x v="0"/>
    <x v="2"/>
    <s v="Premium"/>
    <n v="1"/>
    <n v="0"/>
    <n v="0"/>
    <n v="0"/>
    <x v="0"/>
    <n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x v="0"/>
    <n v="0"/>
    <n v="0"/>
    <m/>
    <n v="45.7"/>
  </r>
  <r>
    <s v="USR-100322"/>
    <d v="2025-02-09T00:00:00"/>
    <x v="0"/>
    <x v="0"/>
    <x v="0"/>
    <x v="4"/>
    <s v="Basic"/>
    <n v="1"/>
    <n v="0"/>
    <n v="0"/>
    <n v="0"/>
    <x v="0"/>
    <n v="2"/>
    <n v="0"/>
    <m/>
    <n v="61.2"/>
  </r>
  <r>
    <s v="USR-100323"/>
    <d v="2025-04-12T00:00:00"/>
    <x v="0"/>
    <x v="1"/>
    <x v="1"/>
    <x v="1"/>
    <s v="Basic"/>
    <n v="1"/>
    <n v="1"/>
    <n v="0"/>
    <n v="0"/>
    <x v="0"/>
    <n v="0"/>
    <n v="0"/>
    <m/>
    <n v="66.2"/>
  </r>
  <r>
    <s v="USR-100324"/>
    <d v="2025-03-18T00:00:00"/>
    <x v="0"/>
    <x v="2"/>
    <x v="1"/>
    <x v="4"/>
    <s v="Free"/>
    <n v="1"/>
    <n v="1"/>
    <n v="1"/>
    <n v="0"/>
    <x v="0"/>
    <n v="0"/>
    <n v="0"/>
    <m/>
    <n v="61.3"/>
  </r>
  <r>
    <s v="USR-100325"/>
    <d v="2025-04-03T00:00:00"/>
    <x v="0"/>
    <x v="2"/>
    <x v="1"/>
    <x v="2"/>
    <s v="Free"/>
    <n v="1"/>
    <n v="0"/>
    <n v="0"/>
    <n v="0"/>
    <x v="0"/>
    <n v="0"/>
    <n v="0"/>
    <m/>
    <n v="72.2"/>
  </r>
  <r>
    <s v="USR-100326"/>
    <d v="2025-04-02T00:00:00"/>
    <x v="0"/>
    <x v="1"/>
    <x v="1"/>
    <x v="0"/>
    <s v="Premium"/>
    <n v="1"/>
    <n v="1"/>
    <n v="1"/>
    <n v="0"/>
    <x v="0"/>
    <n v="0"/>
    <n v="0"/>
    <m/>
    <n v="84"/>
  </r>
  <r>
    <s v="USR-100327"/>
    <d v="2025-05-10T00:00:00"/>
    <x v="0"/>
    <x v="1"/>
    <x v="0"/>
    <x v="0"/>
    <s v="Basic"/>
    <n v="0"/>
    <n v="0"/>
    <n v="0"/>
    <n v="0"/>
    <x v="0"/>
    <n v="0"/>
    <n v="0"/>
    <m/>
    <n v="59.8"/>
  </r>
  <r>
    <s v="USR-100328"/>
    <d v="2025-04-29T00:00:00"/>
    <x v="0"/>
    <x v="1"/>
    <x v="0"/>
    <x v="2"/>
    <s v="Free"/>
    <n v="1"/>
    <n v="0"/>
    <n v="0"/>
    <n v="0"/>
    <x v="0"/>
    <n v="0"/>
    <n v="0"/>
    <m/>
    <n v="64.900000000000006"/>
  </r>
  <r>
    <s v="USR-100329"/>
    <d v="2025-02-27T00:00:00"/>
    <x v="0"/>
    <x v="3"/>
    <x v="1"/>
    <x v="2"/>
    <s v="Free"/>
    <n v="1"/>
    <n v="0"/>
    <n v="0"/>
    <n v="0"/>
    <x v="0"/>
    <n v="0"/>
    <n v="0"/>
    <m/>
    <n v="66.8"/>
  </r>
  <r>
    <s v="USR-100330"/>
    <d v="2025-04-10T00:00:00"/>
    <x v="0"/>
    <x v="0"/>
    <x v="0"/>
    <x v="1"/>
    <s v="Premium"/>
    <n v="0"/>
    <n v="0"/>
    <n v="0"/>
    <n v="0"/>
    <x v="0"/>
    <n v="0"/>
    <n v="0"/>
    <m/>
    <n v="70.900000000000006"/>
  </r>
  <r>
    <s v="USR-100331"/>
    <d v="2025-02-13T00:00:00"/>
    <x v="0"/>
    <x v="2"/>
    <x v="1"/>
    <x v="1"/>
    <s v="Free"/>
    <n v="1"/>
    <n v="1"/>
    <n v="1"/>
    <n v="1"/>
    <x v="15"/>
    <n v="1"/>
    <n v="0"/>
    <n v="14"/>
    <n v="68.8"/>
  </r>
  <r>
    <s v="USR-100332"/>
    <d v="2025-05-03T00:00:00"/>
    <x v="0"/>
    <x v="0"/>
    <x v="1"/>
    <x v="1"/>
    <s v="Basic"/>
    <n v="1"/>
    <n v="0"/>
    <n v="0"/>
    <n v="0"/>
    <x v="0"/>
    <n v="0"/>
    <n v="0"/>
    <m/>
    <n v="72.400000000000006"/>
  </r>
  <r>
    <s v="USR-100333"/>
    <d v="2025-03-10T00:00:00"/>
    <x v="0"/>
    <x v="2"/>
    <x v="1"/>
    <x v="1"/>
    <s v="Basic"/>
    <n v="0"/>
    <n v="0"/>
    <n v="0"/>
    <n v="0"/>
    <x v="0"/>
    <n v="0"/>
    <n v="0"/>
    <m/>
    <n v="63.3"/>
  </r>
  <r>
    <s v="USR-100334"/>
    <d v="2025-01-10T00:00:00"/>
    <x v="0"/>
    <x v="1"/>
    <x v="2"/>
    <x v="4"/>
    <s v="Free"/>
    <n v="1"/>
    <n v="0"/>
    <n v="0"/>
    <n v="0"/>
    <x v="0"/>
    <n v="0"/>
    <n v="0"/>
    <m/>
    <n v="30.8"/>
  </r>
  <r>
    <s v="USR-100335"/>
    <d v="2025-01-16T00:00:00"/>
    <x v="0"/>
    <x v="3"/>
    <x v="1"/>
    <x v="0"/>
    <s v="Basic"/>
    <n v="1"/>
    <n v="1"/>
    <n v="1"/>
    <n v="1"/>
    <x v="16"/>
    <n v="0"/>
    <n v="0"/>
    <n v="9"/>
    <n v="44.2"/>
  </r>
  <r>
    <s v="USR-100336"/>
    <d v="2025-02-11T00:00:00"/>
    <x v="0"/>
    <x v="3"/>
    <x v="0"/>
    <x v="1"/>
    <s v="Premium"/>
    <n v="1"/>
    <n v="1"/>
    <n v="1"/>
    <n v="1"/>
    <x v="17"/>
    <n v="0"/>
    <n v="0"/>
    <n v="10"/>
    <n v="56.2"/>
  </r>
  <r>
    <s v="USR-100337"/>
    <d v="2025-04-13T00:00:00"/>
    <x v="0"/>
    <x v="1"/>
    <x v="1"/>
    <x v="1"/>
    <s v="Free"/>
    <n v="0"/>
    <n v="0"/>
    <n v="0"/>
    <n v="0"/>
    <x v="0"/>
    <n v="0"/>
    <n v="0"/>
    <m/>
    <n v="40.4"/>
  </r>
  <r>
    <s v="USR-100338"/>
    <d v="2025-02-08T00:00:00"/>
    <x v="0"/>
    <x v="2"/>
    <x v="1"/>
    <x v="2"/>
    <s v="Free"/>
    <n v="1"/>
    <n v="1"/>
    <n v="1"/>
    <n v="0"/>
    <x v="0"/>
    <n v="0"/>
    <n v="0"/>
    <m/>
    <n v="68.099999999999994"/>
  </r>
  <r>
    <s v="USR-100339"/>
    <d v="2025-03-31T00:00:00"/>
    <x v="0"/>
    <x v="1"/>
    <x v="0"/>
    <x v="3"/>
    <s v="Free"/>
    <n v="1"/>
    <n v="0"/>
    <n v="0"/>
    <n v="0"/>
    <x v="0"/>
    <n v="0"/>
    <n v="0"/>
    <m/>
    <n v="86.3"/>
  </r>
  <r>
    <s v="USR-100340"/>
    <d v="2025-01-31T00:00:00"/>
    <x v="0"/>
    <x v="1"/>
    <x v="0"/>
    <x v="3"/>
    <s v="Free"/>
    <n v="1"/>
    <n v="1"/>
    <n v="0"/>
    <n v="0"/>
    <x v="0"/>
    <n v="0"/>
    <n v="0"/>
    <m/>
    <n v="42.9"/>
  </r>
  <r>
    <s v="USR-100341"/>
    <d v="2025-05-08T00:00:00"/>
    <x v="0"/>
    <x v="1"/>
    <x v="2"/>
    <x v="1"/>
    <s v="Free"/>
    <n v="0"/>
    <n v="0"/>
    <n v="0"/>
    <n v="0"/>
    <x v="0"/>
    <n v="0"/>
    <n v="0"/>
    <m/>
    <n v="61.4"/>
  </r>
  <r>
    <s v="USR-100342"/>
    <d v="2025-03-15T00:00:00"/>
    <x v="0"/>
    <x v="0"/>
    <x v="1"/>
    <x v="2"/>
    <s v="Free"/>
    <n v="1"/>
    <n v="0"/>
    <n v="0"/>
    <n v="0"/>
    <x v="0"/>
    <n v="1"/>
    <n v="0"/>
    <m/>
    <n v="73.3"/>
  </r>
  <r>
    <s v="USR-100343"/>
    <d v="2025-01-13T00:00:00"/>
    <x v="0"/>
    <x v="3"/>
    <x v="1"/>
    <x v="3"/>
    <s v="Basic"/>
    <n v="1"/>
    <n v="0"/>
    <n v="0"/>
    <n v="0"/>
    <x v="0"/>
    <n v="0"/>
    <n v="0"/>
    <m/>
    <n v="59.4"/>
  </r>
  <r>
    <s v="USR-100344"/>
    <d v="2025-03-07T00:00:00"/>
    <x v="0"/>
    <x v="3"/>
    <x v="2"/>
    <x v="1"/>
    <s v="Basic"/>
    <n v="1"/>
    <n v="0"/>
    <n v="0"/>
    <n v="0"/>
    <x v="0"/>
    <n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x v="0"/>
    <n v="0"/>
    <n v="0"/>
    <m/>
    <n v="55.3"/>
  </r>
  <r>
    <s v="USR-100346"/>
    <d v="2025-03-12T00:00:00"/>
    <x v="0"/>
    <x v="2"/>
    <x v="1"/>
    <x v="2"/>
    <s v="Free"/>
    <n v="0"/>
    <n v="0"/>
    <n v="0"/>
    <n v="0"/>
    <x v="0"/>
    <n v="0"/>
    <n v="0"/>
    <m/>
    <n v="37.5"/>
  </r>
  <r>
    <s v="USR-100347"/>
    <d v="2025-01-03T00:00:00"/>
    <x v="0"/>
    <x v="3"/>
    <x v="0"/>
    <x v="2"/>
    <s v="Free"/>
    <n v="0"/>
    <n v="0"/>
    <n v="0"/>
    <n v="0"/>
    <x v="0"/>
    <n v="1"/>
    <n v="0"/>
    <m/>
    <n v="66.400000000000006"/>
  </r>
  <r>
    <s v="USR-100348"/>
    <d v="2025-04-28T00:00:00"/>
    <x v="0"/>
    <x v="0"/>
    <x v="2"/>
    <x v="4"/>
    <s v="Basic"/>
    <n v="1"/>
    <n v="0"/>
    <n v="0"/>
    <n v="0"/>
    <x v="0"/>
    <n v="0"/>
    <n v="0"/>
    <m/>
    <n v="61.9"/>
  </r>
  <r>
    <s v="USR-100349"/>
    <d v="2025-04-17T00:00:00"/>
    <x v="0"/>
    <x v="2"/>
    <x v="1"/>
    <x v="1"/>
    <s v="Free"/>
    <n v="0"/>
    <n v="0"/>
    <n v="0"/>
    <n v="0"/>
    <x v="0"/>
    <n v="0"/>
    <n v="0"/>
    <m/>
    <n v="56"/>
  </r>
  <r>
    <s v="USR-100350"/>
    <d v="2025-05-23T00:00:00"/>
    <x v="0"/>
    <x v="3"/>
    <x v="0"/>
    <x v="4"/>
    <s v="Basic"/>
    <n v="1"/>
    <n v="0"/>
    <n v="0"/>
    <n v="0"/>
    <x v="0"/>
    <n v="0"/>
    <n v="0"/>
    <m/>
    <n v="55.5"/>
  </r>
  <r>
    <s v="USR-100351"/>
    <d v="2025-02-19T00:00:00"/>
    <x v="0"/>
    <x v="1"/>
    <x v="2"/>
    <x v="3"/>
    <s v="Basic"/>
    <n v="1"/>
    <n v="0"/>
    <n v="0"/>
    <n v="0"/>
    <x v="0"/>
    <n v="0"/>
    <n v="0"/>
    <m/>
    <n v="37.200000000000003"/>
  </r>
  <r>
    <s v="USR-100352"/>
    <d v="2025-01-18T00:00:00"/>
    <x v="0"/>
    <x v="3"/>
    <x v="0"/>
    <x v="1"/>
    <s v="Free"/>
    <n v="1"/>
    <n v="1"/>
    <n v="0"/>
    <n v="0"/>
    <x v="0"/>
    <n v="1"/>
    <n v="0"/>
    <m/>
    <n v="70.5"/>
  </r>
  <r>
    <s v="USR-100353"/>
    <d v="2025-04-17T00:00:00"/>
    <x v="0"/>
    <x v="0"/>
    <x v="1"/>
    <x v="1"/>
    <s v="Free"/>
    <n v="0"/>
    <n v="0"/>
    <n v="0"/>
    <n v="0"/>
    <x v="0"/>
    <n v="0"/>
    <n v="0"/>
    <m/>
    <n v="61.2"/>
  </r>
  <r>
    <s v="USR-100354"/>
    <d v="2025-04-12T00:00:00"/>
    <x v="0"/>
    <x v="2"/>
    <x v="2"/>
    <x v="4"/>
    <s v="Free"/>
    <n v="1"/>
    <n v="1"/>
    <n v="1"/>
    <n v="0"/>
    <x v="0"/>
    <n v="0"/>
    <n v="0"/>
    <m/>
    <n v="64.599999999999994"/>
  </r>
  <r>
    <s v="USR-100355"/>
    <d v="2025-05-16T00:00:00"/>
    <x v="0"/>
    <x v="2"/>
    <x v="1"/>
    <x v="0"/>
    <s v="Free"/>
    <n v="1"/>
    <n v="1"/>
    <n v="0"/>
    <n v="0"/>
    <x v="0"/>
    <n v="0"/>
    <n v="0"/>
    <m/>
    <n v="91.7"/>
  </r>
  <r>
    <s v="USR-100356"/>
    <d v="2025-03-24T00:00:00"/>
    <x v="0"/>
    <x v="1"/>
    <x v="1"/>
    <x v="4"/>
    <s v="Free"/>
    <n v="0"/>
    <n v="0"/>
    <n v="0"/>
    <n v="0"/>
    <x v="0"/>
    <n v="0"/>
    <n v="0"/>
    <m/>
    <n v="46"/>
  </r>
  <r>
    <s v="USR-100357"/>
    <d v="2025-02-16T00:00:00"/>
    <x v="0"/>
    <x v="1"/>
    <x v="1"/>
    <x v="1"/>
    <s v="Basic"/>
    <n v="0"/>
    <n v="0"/>
    <n v="0"/>
    <n v="0"/>
    <x v="0"/>
    <n v="0"/>
    <n v="0"/>
    <m/>
    <n v="50.8"/>
  </r>
  <r>
    <s v="USR-100358"/>
    <d v="2025-03-19T00:00:00"/>
    <x v="0"/>
    <x v="0"/>
    <x v="2"/>
    <x v="1"/>
    <s v="Free"/>
    <n v="1"/>
    <n v="1"/>
    <n v="1"/>
    <n v="0"/>
    <x v="0"/>
    <n v="0"/>
    <n v="0"/>
    <m/>
    <n v="52.8"/>
  </r>
  <r>
    <s v="USR-100359"/>
    <d v="2025-04-21T00:00:00"/>
    <x v="0"/>
    <x v="3"/>
    <x v="1"/>
    <x v="1"/>
    <s v="Basic"/>
    <n v="1"/>
    <n v="1"/>
    <n v="1"/>
    <n v="0"/>
    <x v="0"/>
    <n v="0"/>
    <n v="0"/>
    <m/>
    <n v="63"/>
  </r>
  <r>
    <s v="USR-100360"/>
    <d v="2025-01-11T00:00:00"/>
    <x v="0"/>
    <x v="1"/>
    <x v="1"/>
    <x v="1"/>
    <s v="Free"/>
    <n v="0"/>
    <n v="0"/>
    <n v="0"/>
    <n v="0"/>
    <x v="0"/>
    <n v="0"/>
    <n v="0"/>
    <m/>
    <n v="28.4"/>
  </r>
  <r>
    <s v="USR-100361"/>
    <d v="2025-04-24T00:00:00"/>
    <x v="0"/>
    <x v="1"/>
    <x v="0"/>
    <x v="1"/>
    <s v="Free"/>
    <n v="1"/>
    <n v="1"/>
    <n v="0"/>
    <n v="0"/>
    <x v="0"/>
    <n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x v="0"/>
    <n v="0"/>
    <n v="0"/>
    <m/>
    <n v="54.7"/>
  </r>
  <r>
    <s v="USR-100363"/>
    <d v="2025-01-30T00:00:00"/>
    <x v="0"/>
    <x v="0"/>
    <x v="1"/>
    <x v="4"/>
    <s v="Basic"/>
    <n v="0"/>
    <n v="0"/>
    <n v="0"/>
    <n v="0"/>
    <x v="0"/>
    <n v="0"/>
    <n v="0"/>
    <m/>
    <n v="36.1"/>
  </r>
  <r>
    <s v="USR-100364"/>
    <d v="2025-05-08T00:00:00"/>
    <x v="0"/>
    <x v="3"/>
    <x v="1"/>
    <x v="4"/>
    <s v="Basic"/>
    <n v="1"/>
    <n v="1"/>
    <n v="1"/>
    <n v="0"/>
    <x v="0"/>
    <n v="0"/>
    <n v="0"/>
    <m/>
    <n v="70.400000000000006"/>
  </r>
  <r>
    <s v="USR-100365"/>
    <d v="2025-01-08T00:00:00"/>
    <x v="0"/>
    <x v="2"/>
    <x v="0"/>
    <x v="4"/>
    <s v="Free"/>
    <n v="1"/>
    <n v="0"/>
    <n v="0"/>
    <n v="0"/>
    <x v="0"/>
    <n v="0"/>
    <n v="0"/>
    <m/>
    <n v="56.4"/>
  </r>
  <r>
    <s v="USR-100366"/>
    <d v="2025-05-03T00:00:00"/>
    <x v="0"/>
    <x v="3"/>
    <x v="1"/>
    <x v="1"/>
    <s v="Free"/>
    <n v="1"/>
    <n v="0"/>
    <n v="0"/>
    <n v="0"/>
    <x v="0"/>
    <n v="0"/>
    <n v="0"/>
    <m/>
    <n v="79.2"/>
  </r>
  <r>
    <s v="USR-100367"/>
    <d v="2025-02-12T00:00:00"/>
    <x v="0"/>
    <x v="2"/>
    <x v="1"/>
    <x v="2"/>
    <s v="Free"/>
    <n v="1"/>
    <n v="1"/>
    <n v="1"/>
    <n v="0"/>
    <x v="0"/>
    <n v="0"/>
    <n v="0"/>
    <m/>
    <n v="60.1"/>
  </r>
  <r>
    <s v="USR-100368"/>
    <d v="2025-02-25T00:00:00"/>
    <x v="0"/>
    <x v="3"/>
    <x v="2"/>
    <x v="1"/>
    <s v="Free"/>
    <n v="0"/>
    <n v="0"/>
    <n v="0"/>
    <n v="0"/>
    <x v="0"/>
    <n v="0"/>
    <n v="0"/>
    <m/>
    <n v="58"/>
  </r>
  <r>
    <s v="USR-100369"/>
    <d v="2025-04-14T00:00:00"/>
    <x v="0"/>
    <x v="3"/>
    <x v="1"/>
    <x v="3"/>
    <s v="Free"/>
    <n v="1"/>
    <n v="1"/>
    <n v="1"/>
    <n v="0"/>
    <x v="0"/>
    <n v="0"/>
    <n v="0"/>
    <m/>
    <n v="69"/>
  </r>
  <r>
    <s v="USR-100370"/>
    <d v="2025-01-08T00:00:00"/>
    <x v="0"/>
    <x v="0"/>
    <x v="1"/>
    <x v="3"/>
    <s v="Premium"/>
    <n v="1"/>
    <n v="1"/>
    <n v="1"/>
    <n v="0"/>
    <x v="0"/>
    <n v="1"/>
    <n v="0"/>
    <m/>
    <n v="80.8"/>
  </r>
  <r>
    <s v="USR-100371"/>
    <d v="2025-03-14T00:00:00"/>
    <x v="0"/>
    <x v="2"/>
    <x v="1"/>
    <x v="0"/>
    <s v="Free"/>
    <n v="0"/>
    <n v="0"/>
    <n v="0"/>
    <n v="0"/>
    <x v="0"/>
    <n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x v="0"/>
    <n v="0"/>
    <n v="0"/>
    <m/>
    <n v="56"/>
  </r>
  <r>
    <s v="USR-100373"/>
    <d v="2025-05-01T00:00:00"/>
    <x v="0"/>
    <x v="2"/>
    <x v="0"/>
    <x v="4"/>
    <s v="Free"/>
    <n v="1"/>
    <n v="0"/>
    <n v="0"/>
    <n v="0"/>
    <x v="0"/>
    <n v="0"/>
    <n v="0"/>
    <m/>
    <n v="76.400000000000006"/>
  </r>
  <r>
    <s v="USR-100374"/>
    <d v="2025-03-19T00:00:00"/>
    <x v="0"/>
    <x v="0"/>
    <x v="1"/>
    <x v="3"/>
    <s v="Free"/>
    <n v="1"/>
    <n v="0"/>
    <n v="0"/>
    <n v="0"/>
    <x v="0"/>
    <n v="0"/>
    <n v="0"/>
    <m/>
    <n v="28.5"/>
  </r>
  <r>
    <s v="USR-100375"/>
    <d v="2025-05-01T00:00:00"/>
    <x v="0"/>
    <x v="3"/>
    <x v="0"/>
    <x v="4"/>
    <s v="Basic"/>
    <n v="1"/>
    <n v="1"/>
    <n v="1"/>
    <n v="0"/>
    <x v="0"/>
    <n v="0"/>
    <n v="0"/>
    <m/>
    <n v="48.3"/>
  </r>
  <r>
    <s v="USR-100376"/>
    <d v="2025-03-14T00:00:00"/>
    <x v="0"/>
    <x v="1"/>
    <x v="1"/>
    <x v="1"/>
    <s v="Free"/>
    <n v="1"/>
    <n v="1"/>
    <n v="0"/>
    <n v="0"/>
    <x v="0"/>
    <n v="0"/>
    <n v="0"/>
    <m/>
    <n v="43.4"/>
  </r>
  <r>
    <s v="USR-100377"/>
    <d v="2025-03-23T00:00:00"/>
    <x v="0"/>
    <x v="0"/>
    <x v="1"/>
    <x v="2"/>
    <s v="Free"/>
    <n v="0"/>
    <n v="0"/>
    <n v="0"/>
    <n v="0"/>
    <x v="0"/>
    <n v="0"/>
    <n v="0"/>
    <m/>
    <n v="43"/>
  </r>
  <r>
    <s v="USR-100378"/>
    <d v="2025-02-08T00:00:00"/>
    <x v="0"/>
    <x v="2"/>
    <x v="1"/>
    <x v="3"/>
    <s v="Basic"/>
    <n v="1"/>
    <n v="1"/>
    <n v="1"/>
    <n v="0"/>
    <x v="0"/>
    <n v="0"/>
    <n v="0"/>
    <m/>
    <n v="91.8"/>
  </r>
  <r>
    <s v="USR-100379"/>
    <d v="2025-04-15T00:00:00"/>
    <x v="0"/>
    <x v="1"/>
    <x v="2"/>
    <x v="2"/>
    <s v="Basic"/>
    <n v="1"/>
    <n v="0"/>
    <n v="0"/>
    <n v="0"/>
    <x v="0"/>
    <n v="1"/>
    <n v="0"/>
    <m/>
    <n v="69.3"/>
  </r>
  <r>
    <s v="USR-100380"/>
    <d v="2025-01-03T00:00:00"/>
    <x v="0"/>
    <x v="3"/>
    <x v="0"/>
    <x v="2"/>
    <s v="Basic"/>
    <n v="1"/>
    <n v="0"/>
    <n v="0"/>
    <n v="0"/>
    <x v="0"/>
    <n v="0"/>
    <n v="0"/>
    <m/>
    <n v="58.9"/>
  </r>
  <r>
    <s v="USR-100381"/>
    <d v="2025-03-23T00:00:00"/>
    <x v="0"/>
    <x v="1"/>
    <x v="1"/>
    <x v="4"/>
    <s v="Free"/>
    <n v="1"/>
    <n v="1"/>
    <n v="1"/>
    <n v="0"/>
    <x v="0"/>
    <n v="0"/>
    <n v="0"/>
    <m/>
    <n v="76"/>
  </r>
  <r>
    <s v="USR-100382"/>
    <d v="2025-05-27T00:00:00"/>
    <x v="0"/>
    <x v="3"/>
    <x v="1"/>
    <x v="3"/>
    <s v="Premium"/>
    <n v="1"/>
    <n v="0"/>
    <n v="0"/>
    <n v="0"/>
    <x v="0"/>
    <n v="0"/>
    <n v="0"/>
    <m/>
    <n v="46"/>
  </r>
  <r>
    <s v="USR-100383"/>
    <d v="2025-04-30T00:00:00"/>
    <x v="0"/>
    <x v="2"/>
    <x v="1"/>
    <x v="1"/>
    <s v="Free"/>
    <n v="1"/>
    <n v="0"/>
    <n v="0"/>
    <n v="0"/>
    <x v="0"/>
    <n v="0"/>
    <n v="0"/>
    <m/>
    <n v="54.1"/>
  </r>
  <r>
    <s v="USR-100384"/>
    <d v="2025-03-07T00:00:00"/>
    <x v="0"/>
    <x v="1"/>
    <x v="1"/>
    <x v="4"/>
    <s v="Basic"/>
    <n v="1"/>
    <n v="0"/>
    <n v="0"/>
    <n v="0"/>
    <x v="0"/>
    <n v="0"/>
    <n v="0"/>
    <m/>
    <n v="82.4"/>
  </r>
  <r>
    <s v="USR-100385"/>
    <d v="2025-05-10T00:00:00"/>
    <x v="0"/>
    <x v="3"/>
    <x v="1"/>
    <x v="1"/>
    <s v="Basic"/>
    <n v="1"/>
    <n v="1"/>
    <n v="1"/>
    <n v="0"/>
    <x v="0"/>
    <n v="0"/>
    <n v="0"/>
    <m/>
    <n v="71.900000000000006"/>
  </r>
  <r>
    <s v="USR-100386"/>
    <d v="2025-05-22T00:00:00"/>
    <x v="0"/>
    <x v="2"/>
    <x v="1"/>
    <x v="1"/>
    <s v="Free"/>
    <n v="0"/>
    <n v="0"/>
    <n v="0"/>
    <n v="0"/>
    <x v="0"/>
    <n v="2"/>
    <n v="0"/>
    <m/>
    <n v="38"/>
  </r>
  <r>
    <s v="USR-100387"/>
    <d v="2025-02-09T00:00:00"/>
    <x v="0"/>
    <x v="2"/>
    <x v="1"/>
    <x v="2"/>
    <s v="Free"/>
    <n v="1"/>
    <n v="1"/>
    <n v="0"/>
    <n v="0"/>
    <x v="0"/>
    <n v="0"/>
    <n v="0"/>
    <m/>
    <n v="43.7"/>
  </r>
  <r>
    <s v="USR-100388"/>
    <d v="2025-05-30T00:00:00"/>
    <x v="0"/>
    <x v="1"/>
    <x v="0"/>
    <x v="1"/>
    <s v="Premium"/>
    <n v="1"/>
    <n v="0"/>
    <n v="0"/>
    <n v="0"/>
    <x v="0"/>
    <n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x v="0"/>
    <n v="0"/>
    <n v="0"/>
    <m/>
    <n v="61"/>
  </r>
  <r>
    <s v="USR-100390"/>
    <d v="2025-01-03T00:00:00"/>
    <x v="0"/>
    <x v="3"/>
    <x v="1"/>
    <x v="2"/>
    <s v="Free"/>
    <n v="1"/>
    <n v="0"/>
    <n v="0"/>
    <n v="0"/>
    <x v="0"/>
    <n v="0"/>
    <n v="0"/>
    <m/>
    <n v="49"/>
  </r>
  <r>
    <s v="USR-100391"/>
    <d v="2025-02-13T00:00:00"/>
    <x v="0"/>
    <x v="2"/>
    <x v="1"/>
    <x v="1"/>
    <s v="Free"/>
    <n v="0"/>
    <n v="0"/>
    <n v="0"/>
    <n v="0"/>
    <x v="0"/>
    <n v="0"/>
    <n v="0"/>
    <m/>
    <n v="48.1"/>
  </r>
  <r>
    <s v="USR-100392"/>
    <d v="2025-01-14T00:00:00"/>
    <x v="0"/>
    <x v="3"/>
    <x v="0"/>
    <x v="1"/>
    <s v="Free"/>
    <n v="0"/>
    <n v="0"/>
    <n v="0"/>
    <n v="0"/>
    <x v="0"/>
    <n v="2"/>
    <n v="0"/>
    <m/>
    <n v="46.3"/>
  </r>
  <r>
    <s v="USR-100393"/>
    <d v="2025-02-24T00:00:00"/>
    <x v="0"/>
    <x v="0"/>
    <x v="1"/>
    <x v="3"/>
    <s v="Free"/>
    <n v="0"/>
    <n v="0"/>
    <n v="0"/>
    <n v="0"/>
    <x v="0"/>
    <n v="0"/>
    <n v="0"/>
    <m/>
    <n v="64"/>
  </r>
  <r>
    <s v="USR-100394"/>
    <d v="2025-05-16T00:00:00"/>
    <x v="0"/>
    <x v="1"/>
    <x v="0"/>
    <x v="1"/>
    <s v="Basic"/>
    <n v="1"/>
    <n v="1"/>
    <n v="0"/>
    <n v="0"/>
    <x v="0"/>
    <n v="0"/>
    <n v="0"/>
    <m/>
    <n v="56.2"/>
  </r>
  <r>
    <s v="USR-100395"/>
    <d v="2025-04-29T00:00:00"/>
    <x v="0"/>
    <x v="0"/>
    <x v="1"/>
    <x v="2"/>
    <s v="Free"/>
    <n v="1"/>
    <n v="1"/>
    <n v="1"/>
    <n v="0"/>
    <x v="0"/>
    <n v="0"/>
    <n v="0"/>
    <m/>
    <n v="77.5"/>
  </r>
  <r>
    <s v="USR-100396"/>
    <d v="2025-04-30T00:00:00"/>
    <x v="0"/>
    <x v="3"/>
    <x v="0"/>
    <x v="0"/>
    <s v="Basic"/>
    <n v="1"/>
    <n v="0"/>
    <n v="0"/>
    <n v="0"/>
    <x v="0"/>
    <n v="0"/>
    <n v="0"/>
    <m/>
    <n v="59.9"/>
  </r>
  <r>
    <s v="USR-100397"/>
    <d v="2025-01-09T00:00:00"/>
    <x v="0"/>
    <x v="3"/>
    <x v="0"/>
    <x v="1"/>
    <s v="Free"/>
    <n v="1"/>
    <n v="1"/>
    <n v="0"/>
    <n v="0"/>
    <x v="0"/>
    <n v="0"/>
    <n v="0"/>
    <m/>
    <n v="63"/>
  </r>
  <r>
    <s v="USR-100398"/>
    <d v="2025-04-25T00:00:00"/>
    <x v="0"/>
    <x v="3"/>
    <x v="1"/>
    <x v="1"/>
    <s v="Free"/>
    <n v="1"/>
    <n v="1"/>
    <n v="0"/>
    <n v="0"/>
    <x v="0"/>
    <n v="0"/>
    <n v="0"/>
    <m/>
    <n v="76.5"/>
  </r>
  <r>
    <s v="USR-100399"/>
    <d v="2025-03-12T00:00:00"/>
    <x v="0"/>
    <x v="0"/>
    <x v="0"/>
    <x v="2"/>
    <s v="Free"/>
    <n v="1"/>
    <n v="0"/>
    <n v="0"/>
    <n v="0"/>
    <x v="0"/>
    <n v="0"/>
    <n v="0"/>
    <m/>
    <n v="39.700000000000003"/>
  </r>
  <r>
    <s v="USR-100400"/>
    <d v="2025-03-20T00:00:00"/>
    <x v="0"/>
    <x v="0"/>
    <x v="1"/>
    <x v="1"/>
    <s v="Free"/>
    <n v="1"/>
    <n v="1"/>
    <n v="0"/>
    <n v="0"/>
    <x v="0"/>
    <n v="0"/>
    <n v="0"/>
    <m/>
    <n v="80.2"/>
  </r>
  <r>
    <s v="USR-100401"/>
    <d v="2025-02-18T00:00:00"/>
    <x v="0"/>
    <x v="1"/>
    <x v="1"/>
    <x v="2"/>
    <s v="Free"/>
    <n v="1"/>
    <n v="0"/>
    <n v="0"/>
    <n v="0"/>
    <x v="0"/>
    <n v="0"/>
    <n v="0"/>
    <m/>
    <n v="72.2"/>
  </r>
  <r>
    <s v="USR-100402"/>
    <d v="2025-01-22T00:00:00"/>
    <x v="0"/>
    <x v="0"/>
    <x v="1"/>
    <x v="4"/>
    <s v="Basic"/>
    <n v="0"/>
    <n v="0"/>
    <n v="0"/>
    <n v="0"/>
    <x v="0"/>
    <n v="0"/>
    <n v="0"/>
    <m/>
    <n v="56"/>
  </r>
  <r>
    <s v="USR-100403"/>
    <d v="2025-02-08T00:00:00"/>
    <x v="0"/>
    <x v="1"/>
    <x v="1"/>
    <x v="0"/>
    <s v="Basic"/>
    <n v="1"/>
    <n v="1"/>
    <n v="1"/>
    <n v="0"/>
    <x v="0"/>
    <n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x v="0"/>
    <n v="1"/>
    <n v="0"/>
    <m/>
    <n v="70.599999999999994"/>
  </r>
  <r>
    <s v="USR-100405"/>
    <d v="2025-04-22T00:00:00"/>
    <x v="0"/>
    <x v="1"/>
    <x v="0"/>
    <x v="3"/>
    <s v="Free"/>
    <n v="1"/>
    <n v="0"/>
    <n v="0"/>
    <n v="0"/>
    <x v="0"/>
    <n v="0"/>
    <n v="0"/>
    <m/>
    <n v="57.9"/>
  </r>
  <r>
    <s v="USR-100406"/>
    <d v="2025-01-22T00:00:00"/>
    <x v="0"/>
    <x v="2"/>
    <x v="1"/>
    <x v="1"/>
    <s v="Basic"/>
    <n v="1"/>
    <n v="1"/>
    <n v="0"/>
    <n v="0"/>
    <x v="0"/>
    <n v="0"/>
    <n v="0"/>
    <m/>
    <n v="41.4"/>
  </r>
  <r>
    <s v="USR-100407"/>
    <d v="2025-05-11T00:00:00"/>
    <x v="0"/>
    <x v="1"/>
    <x v="1"/>
    <x v="1"/>
    <s v="Basic"/>
    <n v="1"/>
    <n v="0"/>
    <n v="0"/>
    <n v="0"/>
    <x v="0"/>
    <n v="0"/>
    <n v="0"/>
    <m/>
    <n v="60.9"/>
  </r>
  <r>
    <s v="USR-100408"/>
    <d v="2025-02-06T00:00:00"/>
    <x v="0"/>
    <x v="3"/>
    <x v="1"/>
    <x v="1"/>
    <s v="Basic"/>
    <n v="0"/>
    <n v="0"/>
    <n v="0"/>
    <n v="0"/>
    <x v="0"/>
    <n v="1"/>
    <n v="0"/>
    <m/>
    <n v="63.8"/>
  </r>
  <r>
    <s v="USR-100409"/>
    <d v="2025-02-21T00:00:00"/>
    <x v="0"/>
    <x v="0"/>
    <x v="0"/>
    <x v="1"/>
    <s v="Premium"/>
    <n v="1"/>
    <n v="0"/>
    <n v="0"/>
    <n v="0"/>
    <x v="0"/>
    <n v="0"/>
    <n v="0"/>
    <m/>
    <n v="79.2"/>
  </r>
  <r>
    <s v="USR-100410"/>
    <d v="2025-01-13T00:00:00"/>
    <x v="0"/>
    <x v="1"/>
    <x v="1"/>
    <x v="0"/>
    <s v="Premium"/>
    <n v="1"/>
    <n v="1"/>
    <n v="1"/>
    <n v="0"/>
    <x v="0"/>
    <n v="0"/>
    <n v="0"/>
    <m/>
    <n v="53.3"/>
  </r>
  <r>
    <s v="USR-100411"/>
    <d v="2025-03-07T00:00:00"/>
    <x v="0"/>
    <x v="0"/>
    <x v="1"/>
    <x v="3"/>
    <s v="Premium"/>
    <n v="1"/>
    <n v="1"/>
    <n v="1"/>
    <n v="1"/>
    <x v="18"/>
    <n v="0"/>
    <n v="0"/>
    <n v="6"/>
    <n v="52.3"/>
  </r>
  <r>
    <s v="USR-100412"/>
    <d v="2025-02-26T00:00:00"/>
    <x v="0"/>
    <x v="1"/>
    <x v="0"/>
    <x v="1"/>
    <s v="Basic"/>
    <n v="1"/>
    <n v="1"/>
    <n v="0"/>
    <n v="0"/>
    <x v="0"/>
    <n v="0"/>
    <n v="0"/>
    <m/>
    <n v="62.4"/>
  </r>
  <r>
    <s v="USR-100413"/>
    <d v="2025-05-05T00:00:00"/>
    <x v="0"/>
    <x v="0"/>
    <x v="1"/>
    <x v="3"/>
    <s v="Premium"/>
    <n v="1"/>
    <n v="0"/>
    <n v="0"/>
    <n v="0"/>
    <x v="0"/>
    <n v="0"/>
    <n v="0"/>
    <m/>
    <n v="45.5"/>
  </r>
  <r>
    <s v="USR-100414"/>
    <d v="2025-01-08T00:00:00"/>
    <x v="0"/>
    <x v="2"/>
    <x v="0"/>
    <x v="1"/>
    <s v="Basic"/>
    <n v="0"/>
    <n v="0"/>
    <n v="0"/>
    <n v="0"/>
    <x v="0"/>
    <n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x v="0"/>
    <n v="0"/>
    <n v="0"/>
    <m/>
    <n v="50.1"/>
  </r>
  <r>
    <s v="USR-100416"/>
    <d v="2025-01-30T00:00:00"/>
    <x v="0"/>
    <x v="2"/>
    <x v="0"/>
    <x v="2"/>
    <s v="Free"/>
    <n v="1"/>
    <n v="1"/>
    <n v="1"/>
    <n v="0"/>
    <x v="0"/>
    <n v="2"/>
    <n v="0"/>
    <m/>
    <n v="58.1"/>
  </r>
  <r>
    <s v="USR-100417"/>
    <d v="2025-04-28T00:00:00"/>
    <x v="0"/>
    <x v="2"/>
    <x v="1"/>
    <x v="1"/>
    <s v="Basic"/>
    <n v="1"/>
    <n v="0"/>
    <n v="0"/>
    <n v="0"/>
    <x v="0"/>
    <n v="0"/>
    <n v="0"/>
    <m/>
    <n v="42.9"/>
  </r>
  <r>
    <s v="USR-100418"/>
    <d v="2025-03-07T00:00:00"/>
    <x v="0"/>
    <x v="0"/>
    <x v="1"/>
    <x v="3"/>
    <s v="Basic"/>
    <n v="0"/>
    <n v="0"/>
    <n v="0"/>
    <n v="0"/>
    <x v="0"/>
    <n v="0"/>
    <n v="0"/>
    <m/>
    <n v="69.7"/>
  </r>
  <r>
    <s v="USR-100419"/>
    <d v="2025-04-07T00:00:00"/>
    <x v="0"/>
    <x v="0"/>
    <x v="0"/>
    <x v="1"/>
    <s v="Free"/>
    <n v="0"/>
    <n v="0"/>
    <n v="0"/>
    <n v="0"/>
    <x v="0"/>
    <n v="0"/>
    <n v="0"/>
    <m/>
    <n v="63.3"/>
  </r>
  <r>
    <s v="USR-100420"/>
    <d v="2025-05-08T00:00:00"/>
    <x v="0"/>
    <x v="0"/>
    <x v="0"/>
    <x v="1"/>
    <s v="Premium"/>
    <n v="1"/>
    <n v="0"/>
    <n v="0"/>
    <n v="0"/>
    <x v="0"/>
    <n v="0"/>
    <n v="0"/>
    <m/>
    <n v="71.2"/>
  </r>
  <r>
    <s v="USR-100421"/>
    <d v="2025-04-15T00:00:00"/>
    <x v="0"/>
    <x v="3"/>
    <x v="1"/>
    <x v="0"/>
    <s v="Free"/>
    <n v="1"/>
    <n v="0"/>
    <n v="0"/>
    <n v="0"/>
    <x v="0"/>
    <n v="0"/>
    <n v="0"/>
    <m/>
    <n v="39.1"/>
  </r>
  <r>
    <s v="USR-100422"/>
    <d v="2025-04-20T00:00:00"/>
    <x v="0"/>
    <x v="2"/>
    <x v="0"/>
    <x v="4"/>
    <s v="Free"/>
    <n v="1"/>
    <n v="0"/>
    <n v="0"/>
    <n v="0"/>
    <x v="0"/>
    <n v="0"/>
    <n v="0"/>
    <m/>
    <n v="42.6"/>
  </r>
  <r>
    <s v="USR-100423"/>
    <d v="2025-05-30T00:00:00"/>
    <x v="0"/>
    <x v="3"/>
    <x v="2"/>
    <x v="1"/>
    <s v="Free"/>
    <n v="0"/>
    <n v="0"/>
    <n v="0"/>
    <n v="0"/>
    <x v="0"/>
    <n v="0"/>
    <n v="0"/>
    <m/>
    <n v="74.400000000000006"/>
  </r>
  <r>
    <s v="USR-100424"/>
    <d v="2025-02-13T00:00:00"/>
    <x v="0"/>
    <x v="1"/>
    <x v="1"/>
    <x v="3"/>
    <s v="Free"/>
    <n v="0"/>
    <n v="0"/>
    <n v="0"/>
    <n v="0"/>
    <x v="0"/>
    <n v="0"/>
    <n v="0"/>
    <m/>
    <n v="55.6"/>
  </r>
  <r>
    <s v="USR-100425"/>
    <d v="2025-04-28T00:00:00"/>
    <x v="0"/>
    <x v="1"/>
    <x v="1"/>
    <x v="4"/>
    <s v="Free"/>
    <n v="1"/>
    <n v="0"/>
    <n v="0"/>
    <n v="0"/>
    <x v="0"/>
    <n v="0"/>
    <n v="0"/>
    <m/>
    <n v="35.799999999999997"/>
  </r>
  <r>
    <s v="USR-100426"/>
    <d v="2025-02-12T00:00:00"/>
    <x v="0"/>
    <x v="0"/>
    <x v="1"/>
    <x v="2"/>
    <s v="Basic"/>
    <n v="1"/>
    <n v="0"/>
    <n v="0"/>
    <n v="0"/>
    <x v="0"/>
    <n v="1"/>
    <n v="0"/>
    <m/>
    <n v="28.2"/>
  </r>
  <r>
    <s v="USR-100427"/>
    <d v="2025-02-12T00:00:00"/>
    <x v="0"/>
    <x v="2"/>
    <x v="1"/>
    <x v="1"/>
    <s v="Free"/>
    <n v="0"/>
    <n v="0"/>
    <n v="0"/>
    <n v="0"/>
    <x v="0"/>
    <n v="2"/>
    <n v="0"/>
    <m/>
    <n v="44.4"/>
  </r>
  <r>
    <s v="USR-100428"/>
    <d v="2025-03-27T00:00:00"/>
    <x v="0"/>
    <x v="0"/>
    <x v="1"/>
    <x v="0"/>
    <s v="Premium"/>
    <n v="1"/>
    <n v="0"/>
    <n v="0"/>
    <n v="0"/>
    <x v="0"/>
    <n v="0"/>
    <n v="0"/>
    <m/>
    <n v="49.9"/>
  </r>
  <r>
    <s v="USR-100429"/>
    <d v="2025-04-12T00:00:00"/>
    <x v="0"/>
    <x v="3"/>
    <x v="0"/>
    <x v="1"/>
    <s v="Free"/>
    <n v="0"/>
    <n v="0"/>
    <n v="0"/>
    <n v="0"/>
    <x v="0"/>
    <n v="0"/>
    <n v="0"/>
    <m/>
    <n v="40.4"/>
  </r>
  <r>
    <s v="USR-100430"/>
    <d v="2025-01-30T00:00:00"/>
    <x v="0"/>
    <x v="1"/>
    <x v="1"/>
    <x v="4"/>
    <s v="Free"/>
    <n v="0"/>
    <n v="0"/>
    <n v="0"/>
    <n v="0"/>
    <x v="0"/>
    <n v="0"/>
    <n v="0"/>
    <m/>
    <n v="60.4"/>
  </r>
  <r>
    <s v="USR-100431"/>
    <d v="2025-05-28T00:00:00"/>
    <x v="0"/>
    <x v="1"/>
    <x v="1"/>
    <x v="4"/>
    <s v="Premium"/>
    <n v="0"/>
    <n v="0"/>
    <n v="0"/>
    <n v="0"/>
    <x v="0"/>
    <n v="1"/>
    <n v="0"/>
    <m/>
    <n v="52.4"/>
  </r>
  <r>
    <s v="USR-100432"/>
    <d v="2025-05-01T00:00:00"/>
    <x v="0"/>
    <x v="3"/>
    <x v="1"/>
    <x v="1"/>
    <s v="Basic"/>
    <n v="1"/>
    <n v="1"/>
    <n v="0"/>
    <n v="0"/>
    <x v="0"/>
    <n v="0"/>
    <n v="0"/>
    <m/>
    <n v="48.8"/>
  </r>
  <r>
    <s v="USR-100433"/>
    <d v="2025-02-03T00:00:00"/>
    <x v="0"/>
    <x v="0"/>
    <x v="2"/>
    <x v="0"/>
    <s v="Basic"/>
    <n v="1"/>
    <n v="0"/>
    <n v="0"/>
    <n v="0"/>
    <x v="0"/>
    <n v="0"/>
    <n v="0"/>
    <m/>
    <n v="60.9"/>
  </r>
  <r>
    <s v="USR-100434"/>
    <d v="2025-01-10T00:00:00"/>
    <x v="0"/>
    <x v="3"/>
    <x v="0"/>
    <x v="4"/>
    <s v="Basic"/>
    <n v="0"/>
    <n v="0"/>
    <n v="0"/>
    <n v="0"/>
    <x v="0"/>
    <n v="0"/>
    <n v="0"/>
    <m/>
    <n v="68.2"/>
  </r>
  <r>
    <s v="USR-100435"/>
    <d v="2025-05-02T00:00:00"/>
    <x v="0"/>
    <x v="0"/>
    <x v="0"/>
    <x v="1"/>
    <s v="Basic"/>
    <n v="1"/>
    <n v="0"/>
    <n v="0"/>
    <n v="0"/>
    <x v="0"/>
    <n v="0"/>
    <n v="0"/>
    <m/>
    <n v="65.599999999999994"/>
  </r>
  <r>
    <s v="USR-100436"/>
    <d v="2025-05-26T00:00:00"/>
    <x v="0"/>
    <x v="0"/>
    <x v="0"/>
    <x v="1"/>
    <s v="Basic"/>
    <n v="1"/>
    <n v="0"/>
    <n v="0"/>
    <n v="0"/>
    <x v="0"/>
    <n v="0"/>
    <n v="0"/>
    <m/>
    <n v="65.400000000000006"/>
  </r>
  <r>
    <s v="USR-100437"/>
    <d v="2025-01-12T00:00:00"/>
    <x v="0"/>
    <x v="1"/>
    <x v="1"/>
    <x v="1"/>
    <s v="Basic"/>
    <n v="1"/>
    <n v="0"/>
    <n v="0"/>
    <n v="0"/>
    <x v="0"/>
    <n v="0"/>
    <n v="0"/>
    <m/>
    <n v="78.900000000000006"/>
  </r>
  <r>
    <s v="USR-100438"/>
    <d v="2025-05-27T00:00:00"/>
    <x v="0"/>
    <x v="2"/>
    <x v="1"/>
    <x v="2"/>
    <s v="Basic"/>
    <n v="1"/>
    <n v="1"/>
    <n v="1"/>
    <n v="0"/>
    <x v="0"/>
    <n v="0"/>
    <n v="0"/>
    <m/>
    <n v="78.3"/>
  </r>
  <r>
    <s v="USR-100439"/>
    <d v="2025-05-22T00:00:00"/>
    <x v="0"/>
    <x v="1"/>
    <x v="0"/>
    <x v="0"/>
    <s v="Basic"/>
    <n v="0"/>
    <n v="0"/>
    <n v="0"/>
    <n v="0"/>
    <x v="0"/>
    <n v="0"/>
    <n v="0"/>
    <m/>
    <n v="49.2"/>
  </r>
  <r>
    <s v="USR-100440"/>
    <d v="2025-04-01T00:00:00"/>
    <x v="0"/>
    <x v="2"/>
    <x v="1"/>
    <x v="4"/>
    <s v="Premium"/>
    <n v="1"/>
    <n v="1"/>
    <n v="1"/>
    <n v="1"/>
    <x v="19"/>
    <n v="0"/>
    <n v="0"/>
    <n v="9"/>
    <n v="32.200000000000003"/>
  </r>
  <r>
    <s v="USR-100441"/>
    <d v="2025-01-22T00:00:00"/>
    <x v="0"/>
    <x v="0"/>
    <x v="1"/>
    <x v="2"/>
    <s v="Basic"/>
    <n v="1"/>
    <n v="1"/>
    <n v="1"/>
    <n v="0"/>
    <x v="0"/>
    <n v="0"/>
    <n v="0"/>
    <m/>
    <n v="46.3"/>
  </r>
  <r>
    <s v="USR-100442"/>
    <d v="2025-05-24T00:00:00"/>
    <x v="0"/>
    <x v="2"/>
    <x v="1"/>
    <x v="2"/>
    <s v="Basic"/>
    <n v="1"/>
    <n v="0"/>
    <n v="0"/>
    <n v="0"/>
    <x v="0"/>
    <n v="0"/>
    <n v="0"/>
    <m/>
    <n v="55.7"/>
  </r>
  <r>
    <s v="USR-100443"/>
    <d v="2025-04-25T00:00:00"/>
    <x v="0"/>
    <x v="3"/>
    <x v="1"/>
    <x v="4"/>
    <s v="Free"/>
    <n v="1"/>
    <n v="0"/>
    <n v="0"/>
    <n v="0"/>
    <x v="0"/>
    <n v="0"/>
    <n v="0"/>
    <m/>
    <n v="44.5"/>
  </r>
  <r>
    <s v="USR-100444"/>
    <d v="2025-04-12T00:00:00"/>
    <x v="0"/>
    <x v="1"/>
    <x v="0"/>
    <x v="3"/>
    <s v="Free"/>
    <n v="1"/>
    <n v="1"/>
    <n v="1"/>
    <n v="0"/>
    <x v="0"/>
    <n v="1"/>
    <n v="0"/>
    <m/>
    <n v="47.9"/>
  </r>
  <r>
    <s v="USR-100445"/>
    <d v="2025-04-23T00:00:00"/>
    <x v="0"/>
    <x v="3"/>
    <x v="1"/>
    <x v="1"/>
    <s v="Premium"/>
    <n v="1"/>
    <n v="0"/>
    <n v="0"/>
    <n v="0"/>
    <x v="0"/>
    <n v="0"/>
    <n v="0"/>
    <m/>
    <n v="43.9"/>
  </r>
  <r>
    <s v="USR-100446"/>
    <d v="2025-03-30T00:00:00"/>
    <x v="0"/>
    <x v="0"/>
    <x v="0"/>
    <x v="3"/>
    <s v="Free"/>
    <n v="1"/>
    <n v="1"/>
    <n v="1"/>
    <n v="0"/>
    <x v="0"/>
    <n v="1"/>
    <n v="0"/>
    <m/>
    <n v="67.7"/>
  </r>
  <r>
    <s v="USR-100447"/>
    <d v="2025-01-18T00:00:00"/>
    <x v="0"/>
    <x v="2"/>
    <x v="1"/>
    <x v="3"/>
    <s v="Basic"/>
    <n v="0"/>
    <n v="0"/>
    <n v="0"/>
    <n v="0"/>
    <x v="0"/>
    <n v="0"/>
    <n v="0"/>
    <m/>
    <n v="43.7"/>
  </r>
  <r>
    <s v="USR-100448"/>
    <d v="2025-04-09T00:00:00"/>
    <x v="0"/>
    <x v="2"/>
    <x v="1"/>
    <x v="1"/>
    <s v="Free"/>
    <n v="1"/>
    <n v="0"/>
    <n v="0"/>
    <n v="0"/>
    <x v="0"/>
    <n v="0"/>
    <n v="0"/>
    <m/>
    <n v="68.8"/>
  </r>
  <r>
    <s v="USR-100449"/>
    <d v="2025-01-11T00:00:00"/>
    <x v="0"/>
    <x v="1"/>
    <x v="1"/>
    <x v="1"/>
    <s v="Free"/>
    <n v="1"/>
    <n v="1"/>
    <n v="1"/>
    <n v="0"/>
    <x v="0"/>
    <n v="0"/>
    <n v="0"/>
    <m/>
    <n v="59.2"/>
  </r>
  <r>
    <s v="USR-100450"/>
    <d v="2025-03-05T00:00:00"/>
    <x v="0"/>
    <x v="2"/>
    <x v="1"/>
    <x v="2"/>
    <s v="Free"/>
    <n v="1"/>
    <n v="0"/>
    <n v="0"/>
    <n v="0"/>
    <x v="0"/>
    <n v="0"/>
    <n v="0"/>
    <m/>
    <n v="48.6"/>
  </r>
  <r>
    <s v="USR-100451"/>
    <d v="2025-02-17T00:00:00"/>
    <x v="0"/>
    <x v="0"/>
    <x v="2"/>
    <x v="4"/>
    <s v="Free"/>
    <n v="1"/>
    <n v="1"/>
    <n v="1"/>
    <n v="0"/>
    <x v="0"/>
    <n v="0"/>
    <n v="0"/>
    <m/>
    <n v="56.9"/>
  </r>
  <r>
    <s v="USR-100452"/>
    <d v="2025-05-07T00:00:00"/>
    <x v="0"/>
    <x v="0"/>
    <x v="0"/>
    <x v="2"/>
    <s v="Free"/>
    <n v="0"/>
    <n v="0"/>
    <n v="0"/>
    <n v="0"/>
    <x v="0"/>
    <n v="0"/>
    <n v="0"/>
    <m/>
    <n v="55.8"/>
  </r>
  <r>
    <s v="USR-100453"/>
    <d v="2025-04-10T00:00:00"/>
    <x v="0"/>
    <x v="2"/>
    <x v="1"/>
    <x v="2"/>
    <s v="Premium"/>
    <n v="0"/>
    <n v="0"/>
    <n v="0"/>
    <n v="0"/>
    <x v="0"/>
    <n v="0"/>
    <n v="0"/>
    <m/>
    <n v="63.3"/>
  </r>
  <r>
    <s v="USR-100454"/>
    <d v="2025-04-21T00:00:00"/>
    <x v="0"/>
    <x v="0"/>
    <x v="1"/>
    <x v="4"/>
    <s v="Free"/>
    <n v="1"/>
    <n v="0"/>
    <n v="0"/>
    <n v="0"/>
    <x v="0"/>
    <n v="0"/>
    <n v="0"/>
    <m/>
    <n v="52.2"/>
  </r>
  <r>
    <s v="USR-100455"/>
    <d v="2025-02-25T00:00:00"/>
    <x v="0"/>
    <x v="3"/>
    <x v="2"/>
    <x v="5"/>
    <s v="Free"/>
    <n v="0"/>
    <n v="0"/>
    <n v="0"/>
    <n v="0"/>
    <x v="0"/>
    <n v="0"/>
    <n v="0"/>
    <m/>
    <n v="51.5"/>
  </r>
  <r>
    <s v="USR-100456"/>
    <d v="2025-05-14T00:00:00"/>
    <x v="0"/>
    <x v="2"/>
    <x v="0"/>
    <x v="1"/>
    <s v="Free"/>
    <n v="0"/>
    <n v="0"/>
    <n v="0"/>
    <n v="0"/>
    <x v="0"/>
    <n v="0"/>
    <n v="0"/>
    <m/>
    <n v="50.3"/>
  </r>
  <r>
    <s v="USR-100457"/>
    <d v="2025-03-10T00:00:00"/>
    <x v="0"/>
    <x v="0"/>
    <x v="1"/>
    <x v="0"/>
    <s v="Basic"/>
    <n v="1"/>
    <n v="0"/>
    <n v="0"/>
    <n v="0"/>
    <x v="0"/>
    <n v="1"/>
    <n v="0"/>
    <m/>
    <n v="35.4"/>
  </r>
  <r>
    <s v="USR-100458"/>
    <d v="2025-01-31T00:00:00"/>
    <x v="0"/>
    <x v="1"/>
    <x v="0"/>
    <x v="1"/>
    <s v="Premium"/>
    <n v="1"/>
    <n v="0"/>
    <n v="0"/>
    <n v="0"/>
    <x v="0"/>
    <n v="1"/>
    <n v="0"/>
    <m/>
    <n v="54.1"/>
  </r>
  <r>
    <s v="USR-100459"/>
    <d v="2025-01-17T00:00:00"/>
    <x v="0"/>
    <x v="3"/>
    <x v="1"/>
    <x v="1"/>
    <s v="Premium"/>
    <n v="1"/>
    <n v="0"/>
    <n v="0"/>
    <n v="0"/>
    <x v="0"/>
    <n v="0"/>
    <n v="0"/>
    <m/>
    <n v="56.2"/>
  </r>
  <r>
    <s v="USR-100460"/>
    <d v="2025-03-12T00:00:00"/>
    <x v="0"/>
    <x v="3"/>
    <x v="1"/>
    <x v="2"/>
    <s v="Free"/>
    <n v="0"/>
    <n v="0"/>
    <n v="0"/>
    <n v="0"/>
    <x v="0"/>
    <n v="3"/>
    <n v="0"/>
    <m/>
    <n v="43.7"/>
  </r>
  <r>
    <s v="USR-100461"/>
    <d v="2025-02-28T00:00:00"/>
    <x v="0"/>
    <x v="1"/>
    <x v="0"/>
    <x v="1"/>
    <s v="Premium"/>
    <n v="1"/>
    <n v="1"/>
    <n v="0"/>
    <n v="0"/>
    <x v="0"/>
    <n v="0"/>
    <n v="0"/>
    <m/>
    <n v="51.3"/>
  </r>
  <r>
    <s v="USR-100462"/>
    <d v="2025-05-19T00:00:00"/>
    <x v="0"/>
    <x v="0"/>
    <x v="3"/>
    <x v="1"/>
    <s v="Basic"/>
    <n v="1"/>
    <n v="0"/>
    <n v="0"/>
    <n v="0"/>
    <x v="0"/>
    <n v="0"/>
    <n v="0"/>
    <m/>
    <n v="50.5"/>
  </r>
  <r>
    <s v="USR-100463"/>
    <d v="2025-02-23T00:00:00"/>
    <x v="0"/>
    <x v="0"/>
    <x v="1"/>
    <x v="3"/>
    <s v="Basic"/>
    <n v="1"/>
    <n v="0"/>
    <n v="0"/>
    <n v="0"/>
    <x v="0"/>
    <n v="0"/>
    <n v="0"/>
    <m/>
    <n v="57.3"/>
  </r>
  <r>
    <s v="USR-100464"/>
    <d v="2025-02-20T00:00:00"/>
    <x v="0"/>
    <x v="1"/>
    <x v="0"/>
    <x v="1"/>
    <s v="Free"/>
    <n v="1"/>
    <n v="1"/>
    <n v="1"/>
    <n v="0"/>
    <x v="0"/>
    <n v="0"/>
    <n v="0"/>
    <m/>
    <n v="58.4"/>
  </r>
  <r>
    <s v="USR-100465"/>
    <d v="2025-04-12T00:00:00"/>
    <x v="0"/>
    <x v="0"/>
    <x v="1"/>
    <x v="5"/>
    <s v="Free"/>
    <n v="0"/>
    <n v="0"/>
    <n v="0"/>
    <n v="0"/>
    <x v="0"/>
    <n v="0"/>
    <n v="0"/>
    <m/>
    <n v="56.5"/>
  </r>
  <r>
    <s v="USR-100466"/>
    <d v="2025-01-08T00:00:00"/>
    <x v="0"/>
    <x v="1"/>
    <x v="1"/>
    <x v="0"/>
    <s v="Free"/>
    <n v="0"/>
    <n v="0"/>
    <n v="0"/>
    <n v="0"/>
    <x v="0"/>
    <n v="0"/>
    <n v="0"/>
    <m/>
    <n v="69.599999999999994"/>
  </r>
  <r>
    <s v="USR-100467"/>
    <d v="2025-02-13T00:00:00"/>
    <x v="0"/>
    <x v="1"/>
    <x v="1"/>
    <x v="1"/>
    <s v="Basic"/>
    <n v="0"/>
    <n v="0"/>
    <n v="0"/>
    <n v="0"/>
    <x v="0"/>
    <n v="0"/>
    <n v="0"/>
    <m/>
    <n v="6.2"/>
  </r>
  <r>
    <s v="USR-100468"/>
    <d v="2025-05-21T00:00:00"/>
    <x v="0"/>
    <x v="2"/>
    <x v="0"/>
    <x v="0"/>
    <s v="Free"/>
    <n v="1"/>
    <n v="1"/>
    <n v="1"/>
    <n v="0"/>
    <x v="0"/>
    <n v="0"/>
    <n v="0"/>
    <m/>
    <n v="54.3"/>
  </r>
  <r>
    <s v="USR-100469"/>
    <d v="2025-05-30T00:00:00"/>
    <x v="0"/>
    <x v="0"/>
    <x v="1"/>
    <x v="1"/>
    <s v="Basic"/>
    <n v="0"/>
    <n v="0"/>
    <n v="0"/>
    <n v="0"/>
    <x v="0"/>
    <n v="0"/>
    <n v="0"/>
    <m/>
    <n v="59.8"/>
  </r>
  <r>
    <s v="USR-100470"/>
    <d v="2025-05-20T00:00:00"/>
    <x v="0"/>
    <x v="1"/>
    <x v="1"/>
    <x v="2"/>
    <s v="Free"/>
    <n v="0"/>
    <n v="0"/>
    <n v="0"/>
    <n v="0"/>
    <x v="0"/>
    <n v="0"/>
    <n v="0"/>
    <m/>
    <n v="58.9"/>
  </r>
  <r>
    <s v="USR-100471"/>
    <d v="2025-01-09T00:00:00"/>
    <x v="0"/>
    <x v="2"/>
    <x v="0"/>
    <x v="1"/>
    <s v="Free"/>
    <n v="0"/>
    <n v="0"/>
    <n v="0"/>
    <n v="0"/>
    <x v="0"/>
    <n v="1"/>
    <n v="0"/>
    <m/>
    <n v="52.9"/>
  </r>
  <r>
    <s v="USR-100472"/>
    <d v="2025-03-07T00:00:00"/>
    <x v="0"/>
    <x v="1"/>
    <x v="1"/>
    <x v="1"/>
    <s v="Free"/>
    <n v="0"/>
    <n v="0"/>
    <n v="0"/>
    <n v="0"/>
    <x v="0"/>
    <n v="0"/>
    <n v="0"/>
    <m/>
    <n v="67.8"/>
  </r>
  <r>
    <s v="USR-100473"/>
    <d v="2025-04-23T00:00:00"/>
    <x v="0"/>
    <x v="3"/>
    <x v="1"/>
    <x v="4"/>
    <s v="Free"/>
    <n v="0"/>
    <n v="0"/>
    <n v="0"/>
    <n v="0"/>
    <x v="0"/>
    <n v="0"/>
    <n v="0"/>
    <m/>
    <n v="48.7"/>
  </r>
  <r>
    <s v="USR-100474"/>
    <d v="2025-03-08T00:00:00"/>
    <x v="0"/>
    <x v="2"/>
    <x v="1"/>
    <x v="1"/>
    <s v="Basic"/>
    <n v="0"/>
    <n v="0"/>
    <n v="0"/>
    <n v="0"/>
    <x v="0"/>
    <n v="0"/>
    <n v="0"/>
    <m/>
    <n v="59"/>
  </r>
  <r>
    <s v="USR-100475"/>
    <d v="2025-02-14T00:00:00"/>
    <x v="0"/>
    <x v="3"/>
    <x v="1"/>
    <x v="3"/>
    <s v="Free"/>
    <n v="0"/>
    <n v="0"/>
    <n v="0"/>
    <n v="0"/>
    <x v="0"/>
    <n v="0"/>
    <n v="0"/>
    <m/>
    <n v="63.2"/>
  </r>
  <r>
    <s v="USR-100476"/>
    <d v="2025-05-17T00:00:00"/>
    <x v="0"/>
    <x v="1"/>
    <x v="1"/>
    <x v="3"/>
    <s v="Basic"/>
    <n v="1"/>
    <n v="0"/>
    <n v="0"/>
    <n v="0"/>
    <x v="0"/>
    <n v="0"/>
    <n v="0"/>
    <m/>
    <n v="68.7"/>
  </r>
  <r>
    <s v="USR-100477"/>
    <d v="2025-04-25T00:00:00"/>
    <x v="0"/>
    <x v="3"/>
    <x v="1"/>
    <x v="3"/>
    <s v="Free"/>
    <n v="0"/>
    <n v="0"/>
    <n v="0"/>
    <n v="0"/>
    <x v="0"/>
    <n v="0"/>
    <n v="0"/>
    <m/>
    <n v="52.1"/>
  </r>
  <r>
    <s v="USR-100478"/>
    <d v="2025-03-04T00:00:00"/>
    <x v="0"/>
    <x v="3"/>
    <x v="0"/>
    <x v="4"/>
    <s v="Basic"/>
    <n v="0"/>
    <n v="0"/>
    <n v="0"/>
    <n v="0"/>
    <x v="0"/>
    <n v="0"/>
    <n v="0"/>
    <m/>
    <n v="56.5"/>
  </r>
  <r>
    <s v="USR-100479"/>
    <d v="2025-03-18T00:00:00"/>
    <x v="0"/>
    <x v="3"/>
    <x v="1"/>
    <x v="1"/>
    <s v="Free"/>
    <n v="1"/>
    <n v="0"/>
    <n v="0"/>
    <n v="0"/>
    <x v="0"/>
    <n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x v="0"/>
    <n v="0"/>
    <n v="0"/>
    <m/>
    <n v="65.900000000000006"/>
  </r>
  <r>
    <s v="USR-100481"/>
    <d v="2025-05-20T00:00:00"/>
    <x v="0"/>
    <x v="1"/>
    <x v="2"/>
    <x v="3"/>
    <s v="Free"/>
    <n v="1"/>
    <n v="1"/>
    <n v="1"/>
    <n v="0"/>
    <x v="0"/>
    <n v="0"/>
    <n v="0"/>
    <m/>
    <n v="100"/>
  </r>
  <r>
    <s v="USR-100482"/>
    <d v="2025-02-13T00:00:00"/>
    <x v="0"/>
    <x v="0"/>
    <x v="3"/>
    <x v="1"/>
    <s v="Basic"/>
    <n v="1"/>
    <n v="1"/>
    <n v="1"/>
    <n v="0"/>
    <x v="0"/>
    <n v="0"/>
    <n v="0"/>
    <m/>
    <n v="50.4"/>
  </r>
  <r>
    <s v="USR-100483"/>
    <d v="2025-04-12T00:00:00"/>
    <x v="0"/>
    <x v="1"/>
    <x v="0"/>
    <x v="1"/>
    <s v="Basic"/>
    <n v="0"/>
    <n v="0"/>
    <n v="0"/>
    <n v="0"/>
    <x v="0"/>
    <n v="0"/>
    <n v="0"/>
    <m/>
    <n v="41.5"/>
  </r>
  <r>
    <s v="USR-100484"/>
    <d v="2025-04-07T00:00:00"/>
    <x v="0"/>
    <x v="0"/>
    <x v="1"/>
    <x v="0"/>
    <s v="Free"/>
    <n v="0"/>
    <n v="0"/>
    <n v="0"/>
    <n v="0"/>
    <x v="0"/>
    <n v="0"/>
    <n v="0"/>
    <m/>
    <n v="86.2"/>
  </r>
  <r>
    <s v="USR-100485"/>
    <d v="2025-03-12T00:00:00"/>
    <x v="0"/>
    <x v="0"/>
    <x v="0"/>
    <x v="4"/>
    <s v="Free"/>
    <n v="1"/>
    <n v="1"/>
    <n v="1"/>
    <n v="0"/>
    <x v="0"/>
    <n v="2"/>
    <n v="0"/>
    <m/>
    <n v="50.8"/>
  </r>
  <r>
    <s v="USR-100486"/>
    <d v="2025-02-07T00:00:00"/>
    <x v="0"/>
    <x v="1"/>
    <x v="1"/>
    <x v="1"/>
    <s v="Free"/>
    <n v="1"/>
    <n v="0"/>
    <n v="0"/>
    <n v="0"/>
    <x v="0"/>
    <n v="0"/>
    <n v="0"/>
    <m/>
    <n v="50.9"/>
  </r>
  <r>
    <s v="USR-100487"/>
    <d v="2025-05-05T00:00:00"/>
    <x v="0"/>
    <x v="0"/>
    <x v="1"/>
    <x v="1"/>
    <s v="Premium"/>
    <n v="1"/>
    <n v="1"/>
    <n v="0"/>
    <n v="0"/>
    <x v="0"/>
    <n v="0"/>
    <n v="0"/>
    <m/>
    <n v="87.5"/>
  </r>
  <r>
    <s v="USR-100488"/>
    <d v="2025-03-18T00:00:00"/>
    <x v="0"/>
    <x v="3"/>
    <x v="1"/>
    <x v="3"/>
    <s v="Free"/>
    <n v="0"/>
    <n v="0"/>
    <n v="0"/>
    <n v="0"/>
    <x v="0"/>
    <n v="0"/>
    <n v="0"/>
    <m/>
    <n v="43.6"/>
  </r>
  <r>
    <s v="USR-100489"/>
    <d v="2025-01-05T00:00:00"/>
    <x v="0"/>
    <x v="3"/>
    <x v="1"/>
    <x v="2"/>
    <s v="Basic"/>
    <n v="1"/>
    <n v="0"/>
    <n v="0"/>
    <n v="0"/>
    <x v="0"/>
    <n v="0"/>
    <n v="0"/>
    <m/>
    <n v="55.5"/>
  </r>
  <r>
    <s v="USR-100490"/>
    <d v="2025-05-10T00:00:00"/>
    <x v="0"/>
    <x v="3"/>
    <x v="0"/>
    <x v="3"/>
    <s v="Basic"/>
    <n v="0"/>
    <n v="0"/>
    <n v="0"/>
    <n v="0"/>
    <x v="0"/>
    <n v="0"/>
    <n v="0"/>
    <m/>
    <n v="78.599999999999994"/>
  </r>
  <r>
    <s v="USR-100491"/>
    <d v="2025-01-03T00:00:00"/>
    <x v="0"/>
    <x v="3"/>
    <x v="1"/>
    <x v="4"/>
    <s v="Basic"/>
    <n v="1"/>
    <n v="1"/>
    <n v="0"/>
    <n v="0"/>
    <x v="0"/>
    <n v="1"/>
    <n v="0"/>
    <m/>
    <n v="44.3"/>
  </r>
  <r>
    <s v="USR-100492"/>
    <d v="2025-05-08T00:00:00"/>
    <x v="0"/>
    <x v="3"/>
    <x v="1"/>
    <x v="2"/>
    <s v="Free"/>
    <n v="1"/>
    <n v="1"/>
    <n v="0"/>
    <n v="0"/>
    <x v="0"/>
    <n v="0"/>
    <n v="0"/>
    <m/>
    <n v="45.2"/>
  </r>
  <r>
    <s v="USR-100493"/>
    <d v="2025-03-05T00:00:00"/>
    <x v="0"/>
    <x v="3"/>
    <x v="0"/>
    <x v="0"/>
    <s v="Basic"/>
    <n v="1"/>
    <n v="0"/>
    <n v="0"/>
    <n v="0"/>
    <x v="0"/>
    <n v="2"/>
    <n v="0"/>
    <m/>
    <n v="46.1"/>
  </r>
  <r>
    <s v="USR-100494"/>
    <d v="2025-02-17T00:00:00"/>
    <x v="0"/>
    <x v="0"/>
    <x v="1"/>
    <x v="1"/>
    <s v="Premium"/>
    <n v="1"/>
    <n v="0"/>
    <n v="0"/>
    <n v="0"/>
    <x v="0"/>
    <n v="0"/>
    <n v="0"/>
    <m/>
    <n v="49.6"/>
  </r>
  <r>
    <s v="USR-100495"/>
    <d v="2025-01-09T00:00:00"/>
    <x v="0"/>
    <x v="3"/>
    <x v="1"/>
    <x v="3"/>
    <s v="Basic"/>
    <n v="0"/>
    <n v="0"/>
    <n v="0"/>
    <n v="0"/>
    <x v="0"/>
    <n v="0"/>
    <n v="0"/>
    <m/>
    <n v="70.5"/>
  </r>
  <r>
    <s v="USR-100496"/>
    <d v="2025-05-05T00:00:00"/>
    <x v="0"/>
    <x v="3"/>
    <x v="1"/>
    <x v="0"/>
    <s v="Basic"/>
    <n v="0"/>
    <n v="0"/>
    <n v="0"/>
    <n v="0"/>
    <x v="0"/>
    <n v="1"/>
    <n v="0"/>
    <m/>
    <n v="60.8"/>
  </r>
  <r>
    <s v="USR-100497"/>
    <d v="2025-04-16T00:00:00"/>
    <x v="0"/>
    <x v="2"/>
    <x v="1"/>
    <x v="0"/>
    <s v="Basic"/>
    <n v="0"/>
    <n v="0"/>
    <n v="0"/>
    <n v="0"/>
    <x v="0"/>
    <n v="1"/>
    <n v="0"/>
    <m/>
    <n v="50.5"/>
  </r>
  <r>
    <s v="USR-100498"/>
    <d v="2025-03-02T00:00:00"/>
    <x v="0"/>
    <x v="3"/>
    <x v="0"/>
    <x v="1"/>
    <s v="Free"/>
    <n v="1"/>
    <n v="0"/>
    <n v="0"/>
    <n v="0"/>
    <x v="0"/>
    <n v="0"/>
    <n v="0"/>
    <m/>
    <n v="54.9"/>
  </r>
  <r>
    <s v="USR-100499"/>
    <d v="2025-04-14T00:00:00"/>
    <x v="0"/>
    <x v="3"/>
    <x v="1"/>
    <x v="4"/>
    <s v="Premium"/>
    <n v="0"/>
    <n v="0"/>
    <n v="0"/>
    <n v="0"/>
    <x v="0"/>
    <n v="0"/>
    <n v="0"/>
    <m/>
    <n v="29.9"/>
  </r>
  <r>
    <s v="USR-100500"/>
    <d v="2025-02-15T00:00:00"/>
    <x v="0"/>
    <x v="2"/>
    <x v="0"/>
    <x v="2"/>
    <s v="Basic"/>
    <n v="0"/>
    <n v="0"/>
    <n v="0"/>
    <n v="0"/>
    <x v="0"/>
    <n v="0"/>
    <n v="0"/>
    <m/>
    <n v="48.3"/>
  </r>
  <r>
    <s v="USR-100501"/>
    <d v="2025-02-13T00:00:00"/>
    <x v="0"/>
    <x v="1"/>
    <x v="1"/>
    <x v="4"/>
    <s v="Free"/>
    <n v="1"/>
    <n v="1"/>
    <n v="1"/>
    <n v="1"/>
    <x v="20"/>
    <n v="0"/>
    <n v="0"/>
    <n v="7"/>
    <n v="41.3"/>
  </r>
  <r>
    <s v="USR-100502"/>
    <d v="2025-03-06T00:00:00"/>
    <x v="0"/>
    <x v="0"/>
    <x v="1"/>
    <x v="0"/>
    <s v="Free"/>
    <n v="0"/>
    <n v="0"/>
    <n v="0"/>
    <n v="0"/>
    <x v="0"/>
    <n v="0"/>
    <n v="0"/>
    <m/>
    <n v="61.4"/>
  </r>
  <r>
    <s v="USR-100503"/>
    <d v="2025-02-18T00:00:00"/>
    <x v="0"/>
    <x v="3"/>
    <x v="0"/>
    <x v="4"/>
    <s v="Free"/>
    <n v="0"/>
    <n v="0"/>
    <n v="0"/>
    <n v="0"/>
    <x v="0"/>
    <n v="0"/>
    <n v="0"/>
    <m/>
    <n v="57.8"/>
  </r>
  <r>
    <s v="USR-100504"/>
    <d v="2025-04-07T00:00:00"/>
    <x v="0"/>
    <x v="0"/>
    <x v="0"/>
    <x v="1"/>
    <s v="Free"/>
    <n v="0"/>
    <n v="0"/>
    <n v="0"/>
    <n v="0"/>
    <x v="0"/>
    <n v="0"/>
    <n v="0"/>
    <m/>
    <n v="78.2"/>
  </r>
  <r>
    <s v="USR-100505"/>
    <d v="2025-04-06T00:00:00"/>
    <x v="0"/>
    <x v="0"/>
    <x v="1"/>
    <x v="3"/>
    <s v="Free"/>
    <n v="0"/>
    <n v="0"/>
    <n v="0"/>
    <n v="0"/>
    <x v="0"/>
    <n v="0"/>
    <n v="0"/>
    <m/>
    <n v="63.8"/>
  </r>
  <r>
    <s v="USR-100506"/>
    <d v="2025-01-30T00:00:00"/>
    <x v="0"/>
    <x v="0"/>
    <x v="0"/>
    <x v="4"/>
    <s v="Free"/>
    <n v="1"/>
    <n v="0"/>
    <n v="0"/>
    <n v="0"/>
    <x v="0"/>
    <n v="0"/>
    <n v="0"/>
    <m/>
    <n v="56.8"/>
  </r>
  <r>
    <s v="USR-100507"/>
    <d v="2025-05-13T00:00:00"/>
    <x v="0"/>
    <x v="3"/>
    <x v="0"/>
    <x v="1"/>
    <s v="Basic"/>
    <n v="1"/>
    <n v="1"/>
    <n v="0"/>
    <n v="0"/>
    <x v="0"/>
    <n v="0"/>
    <n v="0"/>
    <m/>
    <n v="59.6"/>
  </r>
  <r>
    <s v="USR-100508"/>
    <d v="2025-01-20T00:00:00"/>
    <x v="0"/>
    <x v="1"/>
    <x v="1"/>
    <x v="2"/>
    <s v="Premium"/>
    <n v="1"/>
    <n v="1"/>
    <n v="0"/>
    <n v="0"/>
    <x v="0"/>
    <n v="0"/>
    <n v="0"/>
    <m/>
    <n v="50"/>
  </r>
  <r>
    <s v="USR-100509"/>
    <d v="2025-01-30T00:00:00"/>
    <x v="0"/>
    <x v="0"/>
    <x v="2"/>
    <x v="1"/>
    <s v="Free"/>
    <n v="1"/>
    <n v="0"/>
    <n v="0"/>
    <n v="0"/>
    <x v="0"/>
    <n v="0"/>
    <n v="0"/>
    <m/>
    <n v="35.700000000000003"/>
  </r>
  <r>
    <s v="USR-100510"/>
    <d v="2025-01-13T00:00:00"/>
    <x v="0"/>
    <x v="3"/>
    <x v="1"/>
    <x v="1"/>
    <s v="Free"/>
    <n v="0"/>
    <n v="0"/>
    <n v="0"/>
    <n v="0"/>
    <x v="0"/>
    <n v="2"/>
    <n v="0"/>
    <m/>
    <n v="47.2"/>
  </r>
  <r>
    <s v="USR-100511"/>
    <d v="2025-02-11T00:00:00"/>
    <x v="0"/>
    <x v="0"/>
    <x v="1"/>
    <x v="4"/>
    <s v="Free"/>
    <n v="1"/>
    <n v="1"/>
    <n v="0"/>
    <n v="0"/>
    <x v="0"/>
    <n v="0"/>
    <n v="0"/>
    <m/>
    <n v="56.9"/>
  </r>
  <r>
    <s v="USR-100512"/>
    <d v="2025-04-15T00:00:00"/>
    <x v="0"/>
    <x v="3"/>
    <x v="1"/>
    <x v="1"/>
    <s v="Free"/>
    <n v="0"/>
    <n v="0"/>
    <n v="0"/>
    <n v="0"/>
    <x v="0"/>
    <n v="1"/>
    <n v="0"/>
    <m/>
    <n v="57.2"/>
  </r>
  <r>
    <s v="USR-100513"/>
    <d v="2025-02-13T00:00:00"/>
    <x v="0"/>
    <x v="3"/>
    <x v="1"/>
    <x v="5"/>
    <s v="Free"/>
    <n v="1"/>
    <n v="1"/>
    <n v="0"/>
    <n v="0"/>
    <x v="0"/>
    <n v="0"/>
    <n v="0"/>
    <m/>
    <n v="31.4"/>
  </r>
  <r>
    <s v="USR-100514"/>
    <d v="2025-05-09T00:00:00"/>
    <x v="0"/>
    <x v="3"/>
    <x v="0"/>
    <x v="1"/>
    <s v="Free"/>
    <n v="0"/>
    <n v="0"/>
    <n v="0"/>
    <n v="0"/>
    <x v="0"/>
    <n v="0"/>
    <n v="0"/>
    <m/>
    <n v="71.2"/>
  </r>
  <r>
    <s v="USR-100515"/>
    <d v="2025-03-10T00:00:00"/>
    <x v="0"/>
    <x v="0"/>
    <x v="1"/>
    <x v="2"/>
    <s v="Free"/>
    <n v="1"/>
    <n v="1"/>
    <n v="1"/>
    <n v="0"/>
    <x v="0"/>
    <n v="1"/>
    <n v="0"/>
    <m/>
    <n v="38.299999999999997"/>
  </r>
  <r>
    <s v="USR-100516"/>
    <d v="2025-04-01T00:00:00"/>
    <x v="0"/>
    <x v="0"/>
    <x v="1"/>
    <x v="1"/>
    <s v="Free"/>
    <n v="1"/>
    <n v="1"/>
    <n v="0"/>
    <n v="0"/>
    <x v="0"/>
    <n v="0"/>
    <n v="0"/>
    <m/>
    <n v="63.1"/>
  </r>
  <r>
    <s v="USR-100517"/>
    <d v="2025-05-15T00:00:00"/>
    <x v="0"/>
    <x v="2"/>
    <x v="1"/>
    <x v="3"/>
    <s v="Basic"/>
    <n v="1"/>
    <n v="0"/>
    <n v="0"/>
    <n v="0"/>
    <x v="0"/>
    <n v="0"/>
    <n v="0"/>
    <m/>
    <n v="59.7"/>
  </r>
  <r>
    <s v="USR-100518"/>
    <d v="2025-05-04T00:00:00"/>
    <x v="0"/>
    <x v="3"/>
    <x v="0"/>
    <x v="4"/>
    <s v="Premium"/>
    <n v="1"/>
    <n v="1"/>
    <n v="1"/>
    <n v="0"/>
    <x v="0"/>
    <n v="0"/>
    <n v="0"/>
    <m/>
    <n v="59.5"/>
  </r>
  <r>
    <s v="USR-100519"/>
    <d v="2025-05-20T00:00:00"/>
    <x v="0"/>
    <x v="2"/>
    <x v="1"/>
    <x v="2"/>
    <s v="Free"/>
    <n v="0"/>
    <n v="0"/>
    <n v="0"/>
    <n v="0"/>
    <x v="0"/>
    <n v="0"/>
    <n v="0"/>
    <m/>
    <n v="78.8"/>
  </r>
  <r>
    <s v="USR-100520"/>
    <d v="2025-05-16T00:00:00"/>
    <x v="0"/>
    <x v="1"/>
    <x v="0"/>
    <x v="3"/>
    <s v="Free"/>
    <n v="0"/>
    <n v="0"/>
    <n v="0"/>
    <n v="0"/>
    <x v="0"/>
    <n v="0"/>
    <n v="0"/>
    <m/>
    <n v="54"/>
  </r>
  <r>
    <s v="USR-100521"/>
    <d v="2025-03-17T00:00:00"/>
    <x v="0"/>
    <x v="1"/>
    <x v="1"/>
    <x v="1"/>
    <s v="Free"/>
    <n v="1"/>
    <n v="0"/>
    <n v="0"/>
    <n v="0"/>
    <x v="0"/>
    <n v="0"/>
    <n v="0"/>
    <m/>
    <n v="66.3"/>
  </r>
  <r>
    <s v="USR-100522"/>
    <d v="2025-01-27T00:00:00"/>
    <x v="0"/>
    <x v="2"/>
    <x v="2"/>
    <x v="2"/>
    <s v="Free"/>
    <n v="1"/>
    <n v="1"/>
    <n v="0"/>
    <n v="0"/>
    <x v="0"/>
    <n v="0"/>
    <n v="0"/>
    <m/>
    <n v="54.7"/>
  </r>
  <r>
    <s v="USR-100523"/>
    <d v="2025-04-13T00:00:00"/>
    <x v="0"/>
    <x v="3"/>
    <x v="1"/>
    <x v="1"/>
    <s v="Basic"/>
    <n v="1"/>
    <n v="0"/>
    <n v="0"/>
    <n v="0"/>
    <x v="0"/>
    <n v="0"/>
    <n v="0"/>
    <m/>
    <n v="76.7"/>
  </r>
  <r>
    <s v="USR-100524"/>
    <d v="2025-05-03T00:00:00"/>
    <x v="0"/>
    <x v="3"/>
    <x v="0"/>
    <x v="0"/>
    <s v="Basic"/>
    <n v="1"/>
    <n v="0"/>
    <n v="0"/>
    <n v="0"/>
    <x v="0"/>
    <n v="2"/>
    <n v="0"/>
    <m/>
    <n v="47.4"/>
  </r>
  <r>
    <s v="USR-100525"/>
    <d v="2025-03-30T00:00:00"/>
    <x v="0"/>
    <x v="0"/>
    <x v="1"/>
    <x v="1"/>
    <s v="Free"/>
    <n v="1"/>
    <n v="1"/>
    <n v="1"/>
    <n v="0"/>
    <x v="0"/>
    <n v="0"/>
    <n v="0"/>
    <m/>
    <n v="81.7"/>
  </r>
  <r>
    <s v="USR-100526"/>
    <d v="2025-01-01T00:00:00"/>
    <x v="0"/>
    <x v="1"/>
    <x v="1"/>
    <x v="2"/>
    <s v="Basic"/>
    <n v="1"/>
    <n v="1"/>
    <n v="1"/>
    <n v="0"/>
    <x v="0"/>
    <n v="0"/>
    <n v="0"/>
    <m/>
    <n v="67.5"/>
  </r>
  <r>
    <s v="USR-100527"/>
    <d v="2025-02-06T00:00:00"/>
    <x v="0"/>
    <x v="1"/>
    <x v="1"/>
    <x v="2"/>
    <s v="Basic"/>
    <n v="1"/>
    <n v="0"/>
    <n v="0"/>
    <n v="0"/>
    <x v="0"/>
    <n v="0"/>
    <n v="0"/>
    <m/>
    <n v="36.799999999999997"/>
  </r>
  <r>
    <s v="USR-100528"/>
    <d v="2025-02-25T00:00:00"/>
    <x v="0"/>
    <x v="0"/>
    <x v="0"/>
    <x v="1"/>
    <s v="Free"/>
    <n v="0"/>
    <n v="0"/>
    <n v="0"/>
    <n v="0"/>
    <x v="0"/>
    <n v="0"/>
    <n v="0"/>
    <m/>
    <n v="66.5"/>
  </r>
  <r>
    <s v="USR-100529"/>
    <d v="2025-05-14T00:00:00"/>
    <x v="0"/>
    <x v="2"/>
    <x v="2"/>
    <x v="4"/>
    <s v="Free"/>
    <n v="1"/>
    <n v="0"/>
    <n v="0"/>
    <n v="0"/>
    <x v="0"/>
    <n v="0"/>
    <n v="0"/>
    <m/>
    <n v="35.4"/>
  </r>
  <r>
    <s v="USR-100530"/>
    <d v="2025-05-20T00:00:00"/>
    <x v="0"/>
    <x v="3"/>
    <x v="1"/>
    <x v="1"/>
    <s v="Basic"/>
    <n v="0"/>
    <n v="0"/>
    <n v="0"/>
    <n v="0"/>
    <x v="0"/>
    <n v="0"/>
    <n v="0"/>
    <m/>
    <n v="64.3"/>
  </r>
  <r>
    <s v="USR-100531"/>
    <d v="2025-02-11T00:00:00"/>
    <x v="0"/>
    <x v="3"/>
    <x v="1"/>
    <x v="1"/>
    <s v="Free"/>
    <n v="0"/>
    <n v="0"/>
    <n v="0"/>
    <n v="0"/>
    <x v="0"/>
    <n v="0"/>
    <n v="0"/>
    <m/>
    <n v="49.1"/>
  </r>
  <r>
    <s v="USR-100532"/>
    <d v="2025-02-13T00:00:00"/>
    <x v="0"/>
    <x v="1"/>
    <x v="1"/>
    <x v="1"/>
    <s v="Free"/>
    <n v="1"/>
    <n v="0"/>
    <n v="0"/>
    <n v="0"/>
    <x v="0"/>
    <n v="0"/>
    <n v="0"/>
    <m/>
    <n v="84.3"/>
  </r>
  <r>
    <s v="USR-100533"/>
    <d v="2025-04-07T00:00:00"/>
    <x v="0"/>
    <x v="3"/>
    <x v="1"/>
    <x v="2"/>
    <s v="Premium"/>
    <n v="1"/>
    <n v="0"/>
    <n v="0"/>
    <n v="0"/>
    <x v="0"/>
    <n v="0"/>
    <n v="0"/>
    <m/>
    <n v="65.599999999999994"/>
  </r>
  <r>
    <s v="USR-100534"/>
    <d v="2025-03-08T00:00:00"/>
    <x v="0"/>
    <x v="2"/>
    <x v="1"/>
    <x v="0"/>
    <s v="Free"/>
    <n v="1"/>
    <n v="0"/>
    <n v="0"/>
    <n v="0"/>
    <x v="0"/>
    <n v="0"/>
    <n v="0"/>
    <m/>
    <n v="47.1"/>
  </r>
  <r>
    <s v="USR-100535"/>
    <d v="2025-02-16T00:00:00"/>
    <x v="0"/>
    <x v="0"/>
    <x v="0"/>
    <x v="2"/>
    <s v="Free"/>
    <n v="1"/>
    <n v="1"/>
    <n v="1"/>
    <n v="0"/>
    <x v="0"/>
    <n v="0"/>
    <n v="0"/>
    <m/>
    <n v="70"/>
  </r>
  <r>
    <s v="USR-100536"/>
    <d v="2025-04-28T00:00:00"/>
    <x v="0"/>
    <x v="3"/>
    <x v="1"/>
    <x v="2"/>
    <s v="Premium"/>
    <n v="1"/>
    <n v="0"/>
    <n v="0"/>
    <n v="0"/>
    <x v="0"/>
    <n v="0"/>
    <n v="0"/>
    <m/>
    <n v="54.6"/>
  </r>
  <r>
    <s v="USR-100537"/>
    <d v="2025-03-10T00:00:00"/>
    <x v="0"/>
    <x v="1"/>
    <x v="2"/>
    <x v="4"/>
    <s v="Basic"/>
    <n v="1"/>
    <n v="1"/>
    <n v="0"/>
    <n v="0"/>
    <x v="0"/>
    <n v="1"/>
    <n v="0"/>
    <m/>
    <n v="65.2"/>
  </r>
  <r>
    <s v="USR-100538"/>
    <d v="2025-01-25T00:00:00"/>
    <x v="0"/>
    <x v="2"/>
    <x v="1"/>
    <x v="4"/>
    <s v="Free"/>
    <n v="1"/>
    <n v="0"/>
    <n v="0"/>
    <n v="0"/>
    <x v="0"/>
    <n v="0"/>
    <n v="0"/>
    <m/>
    <n v="65"/>
  </r>
  <r>
    <s v="USR-100539"/>
    <d v="2025-01-11T00:00:00"/>
    <x v="0"/>
    <x v="1"/>
    <x v="1"/>
    <x v="2"/>
    <s v="Premium"/>
    <n v="1"/>
    <n v="1"/>
    <n v="1"/>
    <n v="0"/>
    <x v="0"/>
    <n v="1"/>
    <n v="0"/>
    <m/>
    <n v="42.1"/>
  </r>
  <r>
    <s v="USR-100540"/>
    <d v="2025-03-31T00:00:00"/>
    <x v="0"/>
    <x v="1"/>
    <x v="2"/>
    <x v="2"/>
    <s v="Free"/>
    <n v="1"/>
    <n v="0"/>
    <n v="0"/>
    <n v="0"/>
    <x v="0"/>
    <n v="0"/>
    <n v="0"/>
    <m/>
    <n v="43.4"/>
  </r>
  <r>
    <s v="USR-100541"/>
    <d v="2025-05-22T00:00:00"/>
    <x v="0"/>
    <x v="0"/>
    <x v="1"/>
    <x v="2"/>
    <s v="Basic"/>
    <n v="1"/>
    <n v="1"/>
    <n v="0"/>
    <n v="0"/>
    <x v="0"/>
    <n v="0"/>
    <n v="0"/>
    <m/>
    <n v="39.9"/>
  </r>
  <r>
    <s v="USR-100542"/>
    <d v="2025-05-16T00:00:00"/>
    <x v="0"/>
    <x v="0"/>
    <x v="1"/>
    <x v="3"/>
    <s v="Basic"/>
    <n v="0"/>
    <n v="0"/>
    <n v="0"/>
    <n v="0"/>
    <x v="0"/>
    <n v="0"/>
    <n v="0"/>
    <m/>
    <n v="74.099999999999994"/>
  </r>
  <r>
    <s v="USR-100543"/>
    <d v="2025-04-25T00:00:00"/>
    <x v="0"/>
    <x v="2"/>
    <x v="0"/>
    <x v="2"/>
    <s v="Free"/>
    <n v="1"/>
    <n v="0"/>
    <n v="0"/>
    <n v="0"/>
    <x v="0"/>
    <n v="0"/>
    <n v="0"/>
    <m/>
    <n v="61.4"/>
  </r>
  <r>
    <s v="USR-100544"/>
    <d v="2025-04-17T00:00:00"/>
    <x v="0"/>
    <x v="2"/>
    <x v="1"/>
    <x v="4"/>
    <s v="Premium"/>
    <n v="1"/>
    <n v="1"/>
    <n v="1"/>
    <n v="0"/>
    <x v="0"/>
    <n v="0"/>
    <n v="0"/>
    <m/>
    <n v="76.8"/>
  </r>
  <r>
    <s v="USR-100545"/>
    <d v="2025-01-01T00:00:00"/>
    <x v="0"/>
    <x v="3"/>
    <x v="0"/>
    <x v="4"/>
    <s v="Basic"/>
    <n v="0"/>
    <n v="0"/>
    <n v="0"/>
    <n v="0"/>
    <x v="0"/>
    <n v="0"/>
    <n v="0"/>
    <m/>
    <m/>
  </r>
  <r>
    <s v="USR-100546"/>
    <d v="2025-03-18T00:00:00"/>
    <x v="0"/>
    <x v="2"/>
    <x v="1"/>
    <x v="2"/>
    <s v="Basic"/>
    <n v="1"/>
    <n v="1"/>
    <n v="1"/>
    <n v="0"/>
    <x v="0"/>
    <n v="0"/>
    <n v="0"/>
    <m/>
    <n v="45.3"/>
  </r>
  <r>
    <s v="USR-100547"/>
    <d v="2025-05-20T00:00:00"/>
    <x v="0"/>
    <x v="0"/>
    <x v="2"/>
    <x v="2"/>
    <s v="Free"/>
    <n v="1"/>
    <n v="0"/>
    <n v="0"/>
    <n v="0"/>
    <x v="0"/>
    <n v="0"/>
    <n v="0"/>
    <m/>
    <n v="41.4"/>
  </r>
  <r>
    <s v="USR-100548"/>
    <d v="2025-03-16T00:00:00"/>
    <x v="0"/>
    <x v="0"/>
    <x v="1"/>
    <x v="1"/>
    <s v="Basic"/>
    <n v="1"/>
    <n v="0"/>
    <n v="0"/>
    <n v="0"/>
    <x v="0"/>
    <n v="0"/>
    <n v="0"/>
    <m/>
    <n v="37.1"/>
  </r>
  <r>
    <s v="USR-100549"/>
    <d v="2025-05-30T00:00:00"/>
    <x v="0"/>
    <x v="2"/>
    <x v="0"/>
    <x v="4"/>
    <s v="Free"/>
    <n v="1"/>
    <n v="0"/>
    <n v="0"/>
    <n v="0"/>
    <x v="0"/>
    <n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x v="0"/>
    <n v="2"/>
    <n v="0"/>
    <m/>
    <n v="55.9"/>
  </r>
  <r>
    <s v="USR-100551"/>
    <d v="2025-02-11T00:00:00"/>
    <x v="0"/>
    <x v="2"/>
    <x v="3"/>
    <x v="4"/>
    <s v="Free"/>
    <n v="1"/>
    <n v="1"/>
    <n v="0"/>
    <n v="0"/>
    <x v="0"/>
    <n v="0"/>
    <n v="0"/>
    <m/>
    <n v="55.8"/>
  </r>
  <r>
    <s v="USR-100552"/>
    <d v="2025-01-02T00:00:00"/>
    <x v="0"/>
    <x v="3"/>
    <x v="2"/>
    <x v="3"/>
    <s v="Basic"/>
    <n v="1"/>
    <n v="0"/>
    <n v="0"/>
    <n v="0"/>
    <x v="0"/>
    <n v="0"/>
    <n v="0"/>
    <m/>
    <n v="64.3"/>
  </r>
  <r>
    <s v="USR-100553"/>
    <d v="2025-05-03T00:00:00"/>
    <x v="0"/>
    <x v="0"/>
    <x v="1"/>
    <x v="1"/>
    <s v="Free"/>
    <n v="0"/>
    <n v="0"/>
    <n v="0"/>
    <n v="0"/>
    <x v="0"/>
    <n v="0"/>
    <n v="0"/>
    <m/>
    <n v="65.400000000000006"/>
  </r>
  <r>
    <s v="USR-100554"/>
    <d v="2025-02-24T00:00:00"/>
    <x v="0"/>
    <x v="1"/>
    <x v="1"/>
    <x v="1"/>
    <s v="Free"/>
    <n v="1"/>
    <n v="0"/>
    <n v="0"/>
    <n v="0"/>
    <x v="0"/>
    <n v="0"/>
    <n v="0"/>
    <m/>
    <n v="89.8"/>
  </r>
  <r>
    <s v="USR-100555"/>
    <d v="2025-02-11T00:00:00"/>
    <x v="0"/>
    <x v="3"/>
    <x v="3"/>
    <x v="1"/>
    <s v="Free"/>
    <n v="1"/>
    <n v="1"/>
    <n v="1"/>
    <n v="0"/>
    <x v="0"/>
    <n v="0"/>
    <n v="0"/>
    <m/>
    <n v="58.3"/>
  </r>
  <r>
    <s v="USR-100556"/>
    <d v="2025-05-06T00:00:00"/>
    <x v="0"/>
    <x v="3"/>
    <x v="1"/>
    <x v="4"/>
    <s v="Basic"/>
    <n v="1"/>
    <n v="0"/>
    <n v="0"/>
    <n v="0"/>
    <x v="0"/>
    <n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x v="0"/>
    <n v="0"/>
    <n v="0"/>
    <m/>
    <n v="46.2"/>
  </r>
  <r>
    <s v="USR-100558"/>
    <d v="2025-01-09T00:00:00"/>
    <x v="0"/>
    <x v="0"/>
    <x v="0"/>
    <x v="2"/>
    <s v="Free"/>
    <n v="0"/>
    <n v="0"/>
    <n v="0"/>
    <n v="0"/>
    <x v="0"/>
    <n v="0"/>
    <n v="0"/>
    <m/>
    <n v="78"/>
  </r>
  <r>
    <s v="USR-100559"/>
    <d v="2025-04-01T00:00:00"/>
    <x v="0"/>
    <x v="0"/>
    <x v="0"/>
    <x v="1"/>
    <s v="Premium"/>
    <n v="1"/>
    <n v="0"/>
    <n v="0"/>
    <n v="0"/>
    <x v="0"/>
    <n v="0"/>
    <n v="0"/>
    <m/>
    <n v="62.3"/>
  </r>
  <r>
    <s v="USR-100560"/>
    <d v="2025-03-08T00:00:00"/>
    <x v="0"/>
    <x v="0"/>
    <x v="1"/>
    <x v="1"/>
    <s v="Free"/>
    <n v="1"/>
    <n v="0"/>
    <n v="0"/>
    <n v="0"/>
    <x v="0"/>
    <n v="0"/>
    <n v="0"/>
    <m/>
    <n v="78.8"/>
  </r>
  <r>
    <s v="USR-100561"/>
    <d v="2025-02-20T00:00:00"/>
    <x v="0"/>
    <x v="0"/>
    <x v="1"/>
    <x v="4"/>
    <s v="Basic"/>
    <n v="1"/>
    <n v="0"/>
    <n v="0"/>
    <n v="0"/>
    <x v="0"/>
    <n v="0"/>
    <n v="0"/>
    <m/>
    <n v="25"/>
  </r>
  <r>
    <s v="USR-100562"/>
    <d v="2025-03-30T00:00:00"/>
    <x v="0"/>
    <x v="2"/>
    <x v="1"/>
    <x v="4"/>
    <s v="Basic"/>
    <n v="0"/>
    <n v="0"/>
    <n v="0"/>
    <n v="0"/>
    <x v="0"/>
    <n v="0"/>
    <n v="0"/>
    <m/>
    <n v="53.4"/>
  </r>
  <r>
    <s v="USR-100563"/>
    <d v="2025-04-10T00:00:00"/>
    <x v="0"/>
    <x v="2"/>
    <x v="0"/>
    <x v="1"/>
    <s v="Basic"/>
    <n v="0"/>
    <n v="0"/>
    <n v="0"/>
    <n v="0"/>
    <x v="0"/>
    <n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x v="0"/>
    <n v="0"/>
    <n v="0"/>
    <m/>
    <n v="36.700000000000003"/>
  </r>
  <r>
    <s v="USR-100565"/>
    <d v="2025-05-21T00:00:00"/>
    <x v="0"/>
    <x v="1"/>
    <x v="1"/>
    <x v="1"/>
    <s v="Basic"/>
    <n v="1"/>
    <n v="0"/>
    <n v="0"/>
    <n v="0"/>
    <x v="0"/>
    <n v="1"/>
    <n v="0"/>
    <m/>
    <n v="67.5"/>
  </r>
  <r>
    <s v="USR-100566"/>
    <d v="2025-03-29T00:00:00"/>
    <x v="0"/>
    <x v="2"/>
    <x v="1"/>
    <x v="4"/>
    <s v="Premium"/>
    <n v="1"/>
    <n v="1"/>
    <n v="1"/>
    <n v="0"/>
    <x v="0"/>
    <n v="0"/>
    <n v="0"/>
    <m/>
    <n v="69.900000000000006"/>
  </r>
  <r>
    <s v="USR-100567"/>
    <d v="2025-02-23T00:00:00"/>
    <x v="0"/>
    <x v="0"/>
    <x v="2"/>
    <x v="3"/>
    <s v="Basic"/>
    <n v="1"/>
    <n v="0"/>
    <n v="0"/>
    <n v="0"/>
    <x v="0"/>
    <n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x v="0"/>
    <n v="0"/>
    <n v="0"/>
    <m/>
    <n v="48.7"/>
  </r>
  <r>
    <s v="USR-100569"/>
    <d v="2025-02-21T00:00:00"/>
    <x v="0"/>
    <x v="1"/>
    <x v="0"/>
    <x v="1"/>
    <s v="Basic"/>
    <n v="1"/>
    <n v="1"/>
    <n v="0"/>
    <n v="0"/>
    <x v="0"/>
    <n v="0"/>
    <n v="0"/>
    <m/>
    <n v="47.2"/>
  </r>
  <r>
    <s v="USR-100570"/>
    <d v="2025-01-07T00:00:00"/>
    <x v="0"/>
    <x v="0"/>
    <x v="1"/>
    <x v="3"/>
    <s v="Free"/>
    <n v="1"/>
    <n v="0"/>
    <n v="0"/>
    <n v="0"/>
    <x v="0"/>
    <n v="2"/>
    <n v="0"/>
    <m/>
    <n v="20.3"/>
  </r>
  <r>
    <s v="USR-100571"/>
    <d v="2025-03-06T00:00:00"/>
    <x v="0"/>
    <x v="1"/>
    <x v="1"/>
    <x v="2"/>
    <s v="Free"/>
    <n v="0"/>
    <n v="0"/>
    <n v="0"/>
    <n v="0"/>
    <x v="0"/>
    <n v="1"/>
    <n v="0"/>
    <m/>
    <n v="57.8"/>
  </r>
  <r>
    <s v="USR-100572"/>
    <d v="2025-03-30T00:00:00"/>
    <x v="0"/>
    <x v="2"/>
    <x v="1"/>
    <x v="0"/>
    <s v="Basic"/>
    <n v="1"/>
    <n v="0"/>
    <n v="0"/>
    <n v="0"/>
    <x v="0"/>
    <n v="0"/>
    <n v="0"/>
    <m/>
    <n v="78.7"/>
  </r>
  <r>
    <s v="USR-100573"/>
    <d v="2025-05-31T00:00:00"/>
    <x v="0"/>
    <x v="3"/>
    <x v="0"/>
    <x v="1"/>
    <s v="Free"/>
    <n v="1"/>
    <n v="0"/>
    <n v="0"/>
    <n v="0"/>
    <x v="0"/>
    <n v="0"/>
    <n v="0"/>
    <m/>
    <n v="63.6"/>
  </r>
  <r>
    <s v="USR-100574"/>
    <d v="2025-02-20T00:00:00"/>
    <x v="0"/>
    <x v="3"/>
    <x v="1"/>
    <x v="0"/>
    <s v="Free"/>
    <n v="0"/>
    <n v="0"/>
    <n v="0"/>
    <n v="0"/>
    <x v="0"/>
    <n v="2"/>
    <n v="0"/>
    <m/>
    <n v="45.1"/>
  </r>
  <r>
    <s v="USR-100575"/>
    <d v="2025-01-13T00:00:00"/>
    <x v="0"/>
    <x v="1"/>
    <x v="1"/>
    <x v="4"/>
    <s v="Free"/>
    <n v="0"/>
    <n v="0"/>
    <n v="0"/>
    <n v="0"/>
    <x v="0"/>
    <n v="0"/>
    <n v="0"/>
    <m/>
    <n v="77.5"/>
  </r>
  <r>
    <s v="USR-100576"/>
    <d v="2025-05-13T00:00:00"/>
    <x v="0"/>
    <x v="2"/>
    <x v="0"/>
    <x v="2"/>
    <s v="Basic"/>
    <n v="1"/>
    <n v="1"/>
    <n v="0"/>
    <n v="0"/>
    <x v="0"/>
    <n v="0"/>
    <n v="0"/>
    <m/>
    <n v="58"/>
  </r>
  <r>
    <s v="USR-100577"/>
    <d v="2025-04-21T00:00:00"/>
    <x v="0"/>
    <x v="3"/>
    <x v="2"/>
    <x v="1"/>
    <s v="Free"/>
    <n v="1"/>
    <n v="0"/>
    <n v="0"/>
    <n v="0"/>
    <x v="0"/>
    <n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x v="0"/>
    <n v="0"/>
    <n v="0"/>
    <m/>
    <n v="35.4"/>
  </r>
  <r>
    <s v="USR-100579"/>
    <d v="2025-03-10T00:00:00"/>
    <x v="0"/>
    <x v="1"/>
    <x v="2"/>
    <x v="1"/>
    <s v="Free"/>
    <n v="0"/>
    <n v="0"/>
    <n v="0"/>
    <n v="0"/>
    <x v="0"/>
    <n v="0"/>
    <n v="0"/>
    <m/>
    <n v="47"/>
  </r>
  <r>
    <s v="USR-100580"/>
    <d v="2025-03-08T00:00:00"/>
    <x v="0"/>
    <x v="2"/>
    <x v="0"/>
    <x v="2"/>
    <s v="Free"/>
    <n v="0"/>
    <n v="0"/>
    <n v="0"/>
    <n v="0"/>
    <x v="0"/>
    <n v="0"/>
    <n v="0"/>
    <m/>
    <n v="75"/>
  </r>
  <r>
    <s v="USR-100581"/>
    <d v="2025-05-26T00:00:00"/>
    <x v="0"/>
    <x v="3"/>
    <x v="0"/>
    <x v="2"/>
    <s v="Free"/>
    <n v="1"/>
    <n v="1"/>
    <n v="1"/>
    <n v="0"/>
    <x v="0"/>
    <n v="3"/>
    <n v="0"/>
    <m/>
    <n v="50.2"/>
  </r>
  <r>
    <s v="USR-100582"/>
    <d v="2025-05-20T00:00:00"/>
    <x v="0"/>
    <x v="2"/>
    <x v="0"/>
    <x v="2"/>
    <s v="Free"/>
    <n v="1"/>
    <n v="0"/>
    <n v="0"/>
    <n v="0"/>
    <x v="0"/>
    <n v="0"/>
    <n v="0"/>
    <m/>
    <n v="40.1"/>
  </r>
  <r>
    <s v="USR-100583"/>
    <d v="2025-03-22T00:00:00"/>
    <x v="0"/>
    <x v="1"/>
    <x v="0"/>
    <x v="2"/>
    <s v="Free"/>
    <n v="0"/>
    <n v="0"/>
    <n v="0"/>
    <n v="0"/>
    <x v="0"/>
    <n v="0"/>
    <n v="0"/>
    <m/>
    <n v="61.1"/>
  </r>
  <r>
    <s v="USR-100584"/>
    <d v="2025-02-15T00:00:00"/>
    <x v="0"/>
    <x v="3"/>
    <x v="0"/>
    <x v="2"/>
    <s v="Free"/>
    <n v="0"/>
    <n v="0"/>
    <n v="0"/>
    <n v="0"/>
    <x v="0"/>
    <n v="0"/>
    <n v="0"/>
    <m/>
    <n v="42.4"/>
  </r>
  <r>
    <s v="USR-100585"/>
    <d v="2025-01-08T00:00:00"/>
    <x v="0"/>
    <x v="0"/>
    <x v="1"/>
    <x v="4"/>
    <s v="Free"/>
    <n v="0"/>
    <n v="0"/>
    <n v="0"/>
    <n v="0"/>
    <x v="0"/>
    <n v="1"/>
    <n v="0"/>
    <m/>
    <n v="46.6"/>
  </r>
  <r>
    <s v="USR-100586"/>
    <d v="2025-01-29T00:00:00"/>
    <x v="0"/>
    <x v="3"/>
    <x v="1"/>
    <x v="1"/>
    <s v="Premium"/>
    <n v="1"/>
    <n v="1"/>
    <n v="0"/>
    <n v="0"/>
    <x v="0"/>
    <n v="0"/>
    <n v="0"/>
    <m/>
    <n v="72.099999999999994"/>
  </r>
  <r>
    <s v="USR-100587"/>
    <d v="2025-05-07T00:00:00"/>
    <x v="0"/>
    <x v="2"/>
    <x v="2"/>
    <x v="1"/>
    <s v="Free"/>
    <n v="0"/>
    <n v="0"/>
    <n v="0"/>
    <n v="0"/>
    <x v="0"/>
    <n v="0"/>
    <n v="0"/>
    <m/>
    <n v="21.5"/>
  </r>
  <r>
    <s v="USR-100588"/>
    <d v="2025-03-01T00:00:00"/>
    <x v="0"/>
    <x v="0"/>
    <x v="1"/>
    <x v="4"/>
    <s v="Basic"/>
    <n v="1"/>
    <n v="0"/>
    <n v="0"/>
    <n v="0"/>
    <x v="0"/>
    <n v="1"/>
    <n v="0"/>
    <m/>
    <n v="65.400000000000006"/>
  </r>
  <r>
    <s v="USR-100589"/>
    <d v="2025-04-20T00:00:00"/>
    <x v="0"/>
    <x v="2"/>
    <x v="1"/>
    <x v="1"/>
    <s v="Free"/>
    <n v="1"/>
    <n v="1"/>
    <n v="0"/>
    <n v="0"/>
    <x v="0"/>
    <n v="0"/>
    <n v="0"/>
    <m/>
    <n v="53.3"/>
  </r>
  <r>
    <s v="USR-100590"/>
    <d v="2025-01-16T00:00:00"/>
    <x v="0"/>
    <x v="2"/>
    <x v="1"/>
    <x v="1"/>
    <s v="Premium"/>
    <n v="0"/>
    <n v="0"/>
    <n v="0"/>
    <n v="0"/>
    <x v="0"/>
    <n v="2"/>
    <n v="0"/>
    <m/>
    <n v="52.3"/>
  </r>
  <r>
    <s v="USR-100591"/>
    <d v="2025-04-04T00:00:00"/>
    <x v="0"/>
    <x v="2"/>
    <x v="1"/>
    <x v="2"/>
    <s v="Free"/>
    <n v="1"/>
    <n v="0"/>
    <n v="0"/>
    <n v="0"/>
    <x v="0"/>
    <n v="0"/>
    <n v="0"/>
    <m/>
    <n v="62.5"/>
  </r>
  <r>
    <s v="USR-100592"/>
    <d v="2025-01-29T00:00:00"/>
    <x v="0"/>
    <x v="0"/>
    <x v="2"/>
    <x v="4"/>
    <s v="Free"/>
    <n v="1"/>
    <n v="0"/>
    <n v="0"/>
    <n v="0"/>
    <x v="0"/>
    <n v="0"/>
    <n v="0"/>
    <m/>
    <n v="69.8"/>
  </r>
  <r>
    <s v="USR-100593"/>
    <d v="2025-04-19T00:00:00"/>
    <x v="0"/>
    <x v="2"/>
    <x v="1"/>
    <x v="0"/>
    <s v="Free"/>
    <n v="1"/>
    <n v="0"/>
    <n v="0"/>
    <n v="0"/>
    <x v="0"/>
    <n v="0"/>
    <n v="0"/>
    <m/>
    <n v="68.2"/>
  </r>
  <r>
    <s v="USR-100594"/>
    <d v="2025-03-10T00:00:00"/>
    <x v="0"/>
    <x v="3"/>
    <x v="1"/>
    <x v="4"/>
    <s v="Basic"/>
    <n v="1"/>
    <n v="1"/>
    <n v="1"/>
    <n v="1"/>
    <x v="21"/>
    <n v="0"/>
    <n v="0"/>
    <n v="6"/>
    <n v="35.200000000000003"/>
  </r>
  <r>
    <s v="USR-100595"/>
    <d v="2025-05-10T00:00:00"/>
    <x v="0"/>
    <x v="3"/>
    <x v="1"/>
    <x v="4"/>
    <s v="Basic"/>
    <n v="0"/>
    <n v="0"/>
    <n v="0"/>
    <n v="0"/>
    <x v="0"/>
    <n v="0"/>
    <n v="0"/>
    <m/>
    <n v="59.3"/>
  </r>
  <r>
    <s v="USR-100596"/>
    <d v="2025-02-02T00:00:00"/>
    <x v="0"/>
    <x v="0"/>
    <x v="1"/>
    <x v="4"/>
    <s v="Free"/>
    <n v="0"/>
    <n v="0"/>
    <n v="0"/>
    <n v="0"/>
    <x v="0"/>
    <n v="0"/>
    <n v="0"/>
    <m/>
    <n v="68.099999999999994"/>
  </r>
  <r>
    <s v="USR-100597"/>
    <d v="2025-05-06T00:00:00"/>
    <x v="0"/>
    <x v="0"/>
    <x v="0"/>
    <x v="1"/>
    <s v="Free"/>
    <n v="1"/>
    <n v="1"/>
    <n v="0"/>
    <n v="0"/>
    <x v="0"/>
    <n v="0"/>
    <n v="0"/>
    <m/>
    <n v="74.8"/>
  </r>
  <r>
    <s v="USR-100598"/>
    <d v="2025-01-19T00:00:00"/>
    <x v="0"/>
    <x v="1"/>
    <x v="0"/>
    <x v="1"/>
    <s v="Free"/>
    <n v="1"/>
    <n v="1"/>
    <n v="1"/>
    <n v="0"/>
    <x v="0"/>
    <n v="0"/>
    <n v="0"/>
    <m/>
    <n v="61.7"/>
  </r>
  <r>
    <s v="USR-100599"/>
    <d v="2025-01-02T00:00:00"/>
    <x v="0"/>
    <x v="0"/>
    <x v="1"/>
    <x v="1"/>
    <s v="Free"/>
    <n v="1"/>
    <n v="0"/>
    <n v="0"/>
    <n v="0"/>
    <x v="0"/>
    <n v="0"/>
    <n v="0"/>
    <m/>
    <n v="24.3"/>
  </r>
  <r>
    <s v="USR-100600"/>
    <d v="2025-05-03T00:00:00"/>
    <x v="0"/>
    <x v="3"/>
    <x v="0"/>
    <x v="2"/>
    <s v="Free"/>
    <n v="0"/>
    <n v="0"/>
    <n v="0"/>
    <n v="0"/>
    <x v="0"/>
    <n v="1"/>
    <n v="0"/>
    <m/>
    <n v="61.9"/>
  </r>
  <r>
    <s v="USR-100601"/>
    <d v="2025-05-27T00:00:00"/>
    <x v="0"/>
    <x v="2"/>
    <x v="0"/>
    <x v="3"/>
    <s v="Premium"/>
    <n v="0"/>
    <n v="0"/>
    <n v="0"/>
    <n v="0"/>
    <x v="0"/>
    <n v="2"/>
    <n v="0"/>
    <m/>
    <n v="41.7"/>
  </r>
  <r>
    <s v="USR-100602"/>
    <d v="2025-02-09T00:00:00"/>
    <x v="0"/>
    <x v="3"/>
    <x v="0"/>
    <x v="4"/>
    <s v="Free"/>
    <n v="1"/>
    <n v="0"/>
    <n v="0"/>
    <n v="0"/>
    <x v="0"/>
    <n v="0"/>
    <n v="0"/>
    <m/>
    <n v="87.6"/>
  </r>
  <r>
    <s v="USR-100603"/>
    <d v="2025-05-18T00:00:00"/>
    <x v="0"/>
    <x v="2"/>
    <x v="1"/>
    <x v="2"/>
    <s v="Free"/>
    <n v="1"/>
    <n v="0"/>
    <n v="0"/>
    <n v="0"/>
    <x v="0"/>
    <n v="0"/>
    <n v="0"/>
    <m/>
    <n v="30.8"/>
  </r>
  <r>
    <s v="USR-100604"/>
    <d v="2025-05-17T00:00:00"/>
    <x v="0"/>
    <x v="0"/>
    <x v="1"/>
    <x v="0"/>
    <s v="Free"/>
    <n v="0"/>
    <n v="0"/>
    <n v="0"/>
    <n v="0"/>
    <x v="0"/>
    <n v="0"/>
    <n v="0"/>
    <m/>
    <n v="54"/>
  </r>
  <r>
    <s v="USR-100605"/>
    <d v="2025-01-25T00:00:00"/>
    <x v="0"/>
    <x v="2"/>
    <x v="0"/>
    <x v="3"/>
    <s v="Basic"/>
    <n v="1"/>
    <n v="0"/>
    <n v="0"/>
    <n v="0"/>
    <x v="0"/>
    <n v="1"/>
    <n v="0"/>
    <m/>
    <n v="54.5"/>
  </r>
  <r>
    <s v="USR-100606"/>
    <d v="2025-05-04T00:00:00"/>
    <x v="0"/>
    <x v="1"/>
    <x v="1"/>
    <x v="2"/>
    <s v="Premium"/>
    <n v="1"/>
    <n v="1"/>
    <n v="0"/>
    <n v="0"/>
    <x v="0"/>
    <n v="0"/>
    <n v="0"/>
    <m/>
    <n v="61.3"/>
  </r>
  <r>
    <s v="USR-100607"/>
    <d v="2025-04-14T00:00:00"/>
    <x v="0"/>
    <x v="1"/>
    <x v="1"/>
    <x v="1"/>
    <s v="Free"/>
    <n v="1"/>
    <n v="0"/>
    <n v="0"/>
    <n v="0"/>
    <x v="0"/>
    <n v="0"/>
    <n v="0"/>
    <m/>
    <n v="62.7"/>
  </r>
  <r>
    <s v="USR-100608"/>
    <d v="2025-04-18T00:00:00"/>
    <x v="0"/>
    <x v="3"/>
    <x v="1"/>
    <x v="2"/>
    <s v="Free"/>
    <n v="1"/>
    <n v="1"/>
    <n v="0"/>
    <n v="0"/>
    <x v="0"/>
    <n v="0"/>
    <n v="0"/>
    <m/>
    <n v="43.1"/>
  </r>
  <r>
    <s v="USR-100609"/>
    <d v="2025-02-24T00:00:00"/>
    <x v="0"/>
    <x v="3"/>
    <x v="0"/>
    <x v="0"/>
    <s v="Basic"/>
    <n v="0"/>
    <n v="0"/>
    <n v="0"/>
    <n v="0"/>
    <x v="0"/>
    <n v="0"/>
    <n v="0"/>
    <m/>
    <n v="59.9"/>
  </r>
  <r>
    <s v="USR-100610"/>
    <d v="2025-04-19T00:00:00"/>
    <x v="0"/>
    <x v="0"/>
    <x v="2"/>
    <x v="2"/>
    <s v="Free"/>
    <n v="1"/>
    <n v="1"/>
    <n v="1"/>
    <n v="0"/>
    <x v="0"/>
    <n v="0"/>
    <n v="0"/>
    <m/>
    <n v="55.7"/>
  </r>
  <r>
    <s v="USR-100611"/>
    <d v="2025-03-07T00:00:00"/>
    <x v="0"/>
    <x v="3"/>
    <x v="0"/>
    <x v="1"/>
    <s v="Basic"/>
    <n v="1"/>
    <n v="0"/>
    <n v="0"/>
    <n v="0"/>
    <x v="0"/>
    <n v="0"/>
    <n v="0"/>
    <m/>
    <n v="37.1"/>
  </r>
  <r>
    <s v="USR-100612"/>
    <d v="2025-03-09T00:00:00"/>
    <x v="0"/>
    <x v="2"/>
    <x v="1"/>
    <x v="1"/>
    <s v="Basic"/>
    <n v="0"/>
    <n v="0"/>
    <n v="0"/>
    <n v="0"/>
    <x v="0"/>
    <n v="1"/>
    <n v="0"/>
    <m/>
    <n v="46.7"/>
  </r>
  <r>
    <s v="USR-100613"/>
    <d v="2025-05-01T00:00:00"/>
    <x v="0"/>
    <x v="3"/>
    <x v="0"/>
    <x v="1"/>
    <s v="Basic"/>
    <n v="1"/>
    <n v="0"/>
    <n v="0"/>
    <n v="0"/>
    <x v="0"/>
    <n v="0"/>
    <n v="0"/>
    <m/>
    <n v="54.1"/>
  </r>
  <r>
    <s v="USR-100614"/>
    <d v="2025-02-09T00:00:00"/>
    <x v="0"/>
    <x v="1"/>
    <x v="0"/>
    <x v="1"/>
    <s v="Premium"/>
    <n v="1"/>
    <n v="1"/>
    <n v="1"/>
    <n v="0"/>
    <x v="0"/>
    <n v="0"/>
    <n v="0"/>
    <m/>
    <n v="56.1"/>
  </r>
  <r>
    <s v="USR-100615"/>
    <d v="2025-05-22T00:00:00"/>
    <x v="0"/>
    <x v="1"/>
    <x v="1"/>
    <x v="3"/>
    <s v="Premium"/>
    <n v="0"/>
    <n v="0"/>
    <n v="0"/>
    <n v="0"/>
    <x v="0"/>
    <n v="0"/>
    <n v="0"/>
    <m/>
    <n v="23.6"/>
  </r>
  <r>
    <s v="USR-100616"/>
    <d v="2025-02-11T00:00:00"/>
    <x v="0"/>
    <x v="0"/>
    <x v="1"/>
    <x v="1"/>
    <s v="Premium"/>
    <n v="0"/>
    <n v="0"/>
    <n v="0"/>
    <n v="0"/>
    <x v="0"/>
    <n v="0"/>
    <n v="0"/>
    <m/>
    <n v="54.7"/>
  </r>
  <r>
    <s v="USR-100617"/>
    <d v="2025-04-12T00:00:00"/>
    <x v="0"/>
    <x v="0"/>
    <x v="1"/>
    <x v="3"/>
    <s v="Basic"/>
    <n v="0"/>
    <n v="0"/>
    <n v="0"/>
    <n v="0"/>
    <x v="0"/>
    <n v="2"/>
    <n v="0"/>
    <m/>
    <n v="50.4"/>
  </r>
  <r>
    <s v="USR-100618"/>
    <d v="2025-03-01T00:00:00"/>
    <x v="0"/>
    <x v="1"/>
    <x v="1"/>
    <x v="4"/>
    <s v="Free"/>
    <n v="1"/>
    <n v="0"/>
    <n v="0"/>
    <n v="0"/>
    <x v="0"/>
    <n v="0"/>
    <n v="0"/>
    <m/>
    <n v="54.5"/>
  </r>
  <r>
    <s v="USR-100619"/>
    <d v="2025-03-17T00:00:00"/>
    <x v="0"/>
    <x v="1"/>
    <x v="0"/>
    <x v="0"/>
    <s v="Basic"/>
    <n v="0"/>
    <n v="0"/>
    <n v="0"/>
    <n v="0"/>
    <x v="0"/>
    <n v="0"/>
    <n v="0"/>
    <m/>
    <n v="58"/>
  </r>
  <r>
    <s v="USR-100620"/>
    <d v="2025-01-11T00:00:00"/>
    <x v="0"/>
    <x v="0"/>
    <x v="1"/>
    <x v="2"/>
    <s v="Free"/>
    <n v="0"/>
    <n v="0"/>
    <n v="0"/>
    <n v="0"/>
    <x v="0"/>
    <n v="0"/>
    <n v="0"/>
    <m/>
    <n v="42.9"/>
  </r>
  <r>
    <s v="USR-100621"/>
    <d v="2025-02-17T00:00:00"/>
    <x v="0"/>
    <x v="3"/>
    <x v="1"/>
    <x v="4"/>
    <s v="Premium"/>
    <n v="1"/>
    <n v="0"/>
    <n v="0"/>
    <n v="0"/>
    <x v="0"/>
    <n v="0"/>
    <n v="0"/>
    <m/>
    <n v="51.1"/>
  </r>
  <r>
    <s v="USR-100622"/>
    <d v="2025-03-25T00:00:00"/>
    <x v="0"/>
    <x v="2"/>
    <x v="1"/>
    <x v="2"/>
    <s v="Basic"/>
    <n v="1"/>
    <n v="1"/>
    <n v="0"/>
    <n v="0"/>
    <x v="0"/>
    <n v="0"/>
    <n v="0"/>
    <m/>
    <n v="51.8"/>
  </r>
  <r>
    <s v="USR-100623"/>
    <d v="2025-05-01T00:00:00"/>
    <x v="0"/>
    <x v="3"/>
    <x v="1"/>
    <x v="2"/>
    <s v="Free"/>
    <n v="0"/>
    <n v="0"/>
    <n v="0"/>
    <n v="0"/>
    <x v="0"/>
    <n v="0"/>
    <n v="0"/>
    <m/>
    <n v="67.7"/>
  </r>
  <r>
    <s v="USR-100624"/>
    <d v="2025-04-02T00:00:00"/>
    <x v="0"/>
    <x v="2"/>
    <x v="1"/>
    <x v="1"/>
    <s v="Basic"/>
    <n v="0"/>
    <n v="0"/>
    <n v="0"/>
    <n v="0"/>
    <x v="0"/>
    <n v="0"/>
    <n v="0"/>
    <m/>
    <n v="75.8"/>
  </r>
  <r>
    <s v="USR-100625"/>
    <d v="2025-04-05T00:00:00"/>
    <x v="0"/>
    <x v="2"/>
    <x v="1"/>
    <x v="0"/>
    <s v="Free"/>
    <n v="1"/>
    <n v="1"/>
    <n v="0"/>
    <n v="0"/>
    <x v="0"/>
    <n v="0"/>
    <n v="0"/>
    <m/>
    <n v="72.8"/>
  </r>
  <r>
    <s v="USR-100626"/>
    <d v="2025-02-24T00:00:00"/>
    <x v="0"/>
    <x v="0"/>
    <x v="0"/>
    <x v="4"/>
    <s v="Free"/>
    <n v="1"/>
    <n v="1"/>
    <n v="0"/>
    <n v="0"/>
    <x v="0"/>
    <n v="0"/>
    <n v="0"/>
    <m/>
    <n v="54.4"/>
  </r>
  <r>
    <s v="USR-100627"/>
    <d v="2025-01-24T00:00:00"/>
    <x v="0"/>
    <x v="1"/>
    <x v="1"/>
    <x v="2"/>
    <s v="Basic"/>
    <n v="1"/>
    <n v="0"/>
    <n v="0"/>
    <n v="0"/>
    <x v="0"/>
    <n v="0"/>
    <n v="0"/>
    <m/>
    <n v="51.8"/>
  </r>
  <r>
    <s v="USR-100628"/>
    <d v="2025-04-10T00:00:00"/>
    <x v="0"/>
    <x v="3"/>
    <x v="1"/>
    <x v="2"/>
    <s v="Free"/>
    <n v="0"/>
    <n v="0"/>
    <n v="0"/>
    <n v="0"/>
    <x v="0"/>
    <n v="0"/>
    <n v="0"/>
    <m/>
    <n v="40.299999999999997"/>
  </r>
  <r>
    <s v="USR-100629"/>
    <d v="2025-02-19T00:00:00"/>
    <x v="0"/>
    <x v="3"/>
    <x v="1"/>
    <x v="3"/>
    <s v="Free"/>
    <n v="1"/>
    <n v="1"/>
    <n v="1"/>
    <n v="0"/>
    <x v="0"/>
    <n v="0"/>
    <n v="0"/>
    <m/>
    <n v="61.7"/>
  </r>
  <r>
    <s v="USR-100630"/>
    <d v="2025-03-22T00:00:00"/>
    <x v="0"/>
    <x v="0"/>
    <x v="1"/>
    <x v="4"/>
    <s v="Free"/>
    <n v="0"/>
    <n v="0"/>
    <n v="0"/>
    <n v="0"/>
    <x v="0"/>
    <n v="0"/>
    <n v="0"/>
    <m/>
    <n v="45"/>
  </r>
  <r>
    <s v="USR-100631"/>
    <d v="2025-04-08T00:00:00"/>
    <x v="0"/>
    <x v="2"/>
    <x v="0"/>
    <x v="1"/>
    <s v="Premium"/>
    <n v="1"/>
    <n v="1"/>
    <n v="1"/>
    <n v="0"/>
    <x v="0"/>
    <n v="0"/>
    <n v="0"/>
    <m/>
    <n v="60"/>
  </r>
  <r>
    <s v="USR-100632"/>
    <d v="2025-03-16T00:00:00"/>
    <x v="0"/>
    <x v="0"/>
    <x v="1"/>
    <x v="4"/>
    <s v="Free"/>
    <n v="1"/>
    <n v="0"/>
    <n v="0"/>
    <n v="0"/>
    <x v="0"/>
    <n v="0"/>
    <n v="0"/>
    <m/>
    <m/>
  </r>
  <r>
    <s v="USR-100633"/>
    <d v="2025-03-07T00:00:00"/>
    <x v="0"/>
    <x v="2"/>
    <x v="1"/>
    <x v="2"/>
    <s v="Free"/>
    <n v="1"/>
    <n v="0"/>
    <n v="0"/>
    <n v="0"/>
    <x v="0"/>
    <n v="0"/>
    <n v="0"/>
    <m/>
    <n v="55.5"/>
  </r>
  <r>
    <s v="USR-100634"/>
    <d v="2025-03-16T00:00:00"/>
    <x v="0"/>
    <x v="3"/>
    <x v="1"/>
    <x v="3"/>
    <s v="Basic"/>
    <n v="0"/>
    <n v="0"/>
    <n v="0"/>
    <n v="0"/>
    <x v="0"/>
    <n v="0"/>
    <n v="0"/>
    <m/>
    <n v="51.8"/>
  </r>
  <r>
    <s v="USR-100635"/>
    <d v="2025-05-26T00:00:00"/>
    <x v="0"/>
    <x v="2"/>
    <x v="1"/>
    <x v="5"/>
    <s v="Premium"/>
    <n v="1"/>
    <n v="0"/>
    <n v="0"/>
    <n v="0"/>
    <x v="0"/>
    <n v="3"/>
    <n v="0"/>
    <m/>
    <n v="56"/>
  </r>
  <r>
    <s v="USR-100636"/>
    <d v="2025-01-14T00:00:00"/>
    <x v="0"/>
    <x v="1"/>
    <x v="1"/>
    <x v="1"/>
    <s v="Free"/>
    <n v="0"/>
    <n v="0"/>
    <n v="0"/>
    <n v="0"/>
    <x v="0"/>
    <n v="0"/>
    <n v="0"/>
    <m/>
    <n v="52.5"/>
  </r>
  <r>
    <s v="USR-100637"/>
    <d v="2025-03-30T00:00:00"/>
    <x v="0"/>
    <x v="1"/>
    <x v="1"/>
    <x v="2"/>
    <s v="Premium"/>
    <n v="1"/>
    <n v="0"/>
    <n v="0"/>
    <n v="0"/>
    <x v="0"/>
    <n v="0"/>
    <n v="0"/>
    <m/>
    <n v="42.5"/>
  </r>
  <r>
    <s v="USR-100638"/>
    <d v="2025-05-12T00:00:00"/>
    <x v="0"/>
    <x v="2"/>
    <x v="0"/>
    <x v="0"/>
    <s v="Free"/>
    <n v="1"/>
    <n v="1"/>
    <n v="1"/>
    <n v="0"/>
    <x v="0"/>
    <n v="0"/>
    <n v="0"/>
    <m/>
    <n v="65.3"/>
  </r>
  <r>
    <s v="USR-100639"/>
    <d v="2025-05-10T00:00:00"/>
    <x v="0"/>
    <x v="1"/>
    <x v="1"/>
    <x v="2"/>
    <s v="Free"/>
    <n v="0"/>
    <n v="0"/>
    <n v="0"/>
    <n v="0"/>
    <x v="0"/>
    <n v="0"/>
    <n v="0"/>
    <m/>
    <n v="37.6"/>
  </r>
  <r>
    <s v="USR-100640"/>
    <d v="2025-04-09T00:00:00"/>
    <x v="0"/>
    <x v="2"/>
    <x v="1"/>
    <x v="4"/>
    <s v="Basic"/>
    <n v="0"/>
    <n v="0"/>
    <n v="0"/>
    <n v="0"/>
    <x v="0"/>
    <n v="0"/>
    <n v="0"/>
    <m/>
    <n v="57.8"/>
  </r>
  <r>
    <s v="USR-100641"/>
    <d v="2025-05-26T00:00:00"/>
    <x v="0"/>
    <x v="0"/>
    <x v="1"/>
    <x v="4"/>
    <s v="Free"/>
    <n v="1"/>
    <n v="0"/>
    <n v="0"/>
    <n v="0"/>
    <x v="0"/>
    <n v="0"/>
    <n v="0"/>
    <m/>
    <n v="52.7"/>
  </r>
  <r>
    <s v="USR-100642"/>
    <d v="2025-02-12T00:00:00"/>
    <x v="0"/>
    <x v="0"/>
    <x v="1"/>
    <x v="1"/>
    <s v="Free"/>
    <n v="1"/>
    <n v="0"/>
    <n v="0"/>
    <n v="0"/>
    <x v="0"/>
    <n v="0"/>
    <n v="0"/>
    <m/>
    <n v="51.7"/>
  </r>
  <r>
    <s v="USR-100643"/>
    <d v="2025-04-01T00:00:00"/>
    <x v="0"/>
    <x v="0"/>
    <x v="0"/>
    <x v="0"/>
    <s v="Basic"/>
    <n v="0"/>
    <n v="0"/>
    <n v="0"/>
    <n v="0"/>
    <x v="0"/>
    <n v="0"/>
    <n v="0"/>
    <m/>
    <n v="57"/>
  </r>
  <r>
    <s v="USR-100644"/>
    <d v="2025-01-18T00:00:00"/>
    <x v="0"/>
    <x v="3"/>
    <x v="0"/>
    <x v="1"/>
    <s v="Basic"/>
    <n v="0"/>
    <n v="0"/>
    <n v="0"/>
    <n v="0"/>
    <x v="0"/>
    <n v="0"/>
    <n v="0"/>
    <m/>
    <n v="39.5"/>
  </r>
  <r>
    <s v="USR-100645"/>
    <d v="2025-04-06T00:00:00"/>
    <x v="0"/>
    <x v="2"/>
    <x v="2"/>
    <x v="1"/>
    <s v="Free"/>
    <n v="1"/>
    <n v="0"/>
    <n v="0"/>
    <n v="0"/>
    <x v="0"/>
    <n v="0"/>
    <n v="0"/>
    <m/>
    <n v="76.5"/>
  </r>
  <r>
    <s v="USR-100646"/>
    <d v="2025-04-17T00:00:00"/>
    <x v="0"/>
    <x v="2"/>
    <x v="1"/>
    <x v="1"/>
    <s v="Free"/>
    <n v="1"/>
    <n v="0"/>
    <n v="0"/>
    <n v="0"/>
    <x v="0"/>
    <n v="0"/>
    <n v="0"/>
    <m/>
    <n v="32.4"/>
  </r>
  <r>
    <s v="USR-100647"/>
    <d v="2025-02-07T00:00:00"/>
    <x v="0"/>
    <x v="0"/>
    <x v="0"/>
    <x v="2"/>
    <s v="Free"/>
    <n v="0"/>
    <n v="0"/>
    <n v="0"/>
    <n v="0"/>
    <x v="0"/>
    <n v="0"/>
    <n v="0"/>
    <m/>
    <n v="58.6"/>
  </r>
  <r>
    <s v="USR-100648"/>
    <d v="2025-03-04T00:00:00"/>
    <x v="0"/>
    <x v="2"/>
    <x v="1"/>
    <x v="1"/>
    <s v="Basic"/>
    <n v="1"/>
    <n v="0"/>
    <n v="0"/>
    <n v="0"/>
    <x v="0"/>
    <n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x v="0"/>
    <n v="0"/>
    <n v="0"/>
    <m/>
    <n v="54.5"/>
  </r>
  <r>
    <s v="USR-100650"/>
    <d v="2025-05-06T00:00:00"/>
    <x v="0"/>
    <x v="3"/>
    <x v="1"/>
    <x v="3"/>
    <s v="Free"/>
    <n v="1"/>
    <n v="0"/>
    <n v="0"/>
    <n v="0"/>
    <x v="0"/>
    <n v="0"/>
    <n v="0"/>
    <m/>
    <n v="57.6"/>
  </r>
  <r>
    <s v="USR-100651"/>
    <d v="2025-03-25T00:00:00"/>
    <x v="0"/>
    <x v="3"/>
    <x v="1"/>
    <x v="3"/>
    <s v="Premium"/>
    <n v="0"/>
    <n v="0"/>
    <n v="0"/>
    <n v="0"/>
    <x v="0"/>
    <n v="0"/>
    <n v="0"/>
    <m/>
    <n v="52.8"/>
  </r>
  <r>
    <s v="USR-100652"/>
    <d v="2025-03-04T00:00:00"/>
    <x v="0"/>
    <x v="1"/>
    <x v="1"/>
    <x v="0"/>
    <s v="Premium"/>
    <n v="1"/>
    <n v="0"/>
    <n v="0"/>
    <n v="0"/>
    <x v="0"/>
    <n v="0"/>
    <n v="0"/>
    <m/>
    <n v="52.9"/>
  </r>
  <r>
    <s v="USR-100653"/>
    <d v="2025-05-09T00:00:00"/>
    <x v="0"/>
    <x v="1"/>
    <x v="1"/>
    <x v="1"/>
    <s v="Free"/>
    <n v="1"/>
    <n v="0"/>
    <n v="0"/>
    <n v="0"/>
    <x v="0"/>
    <n v="1"/>
    <n v="0"/>
    <m/>
    <n v="55.9"/>
  </r>
  <r>
    <s v="USR-100654"/>
    <d v="2025-05-17T00:00:00"/>
    <x v="0"/>
    <x v="1"/>
    <x v="1"/>
    <x v="3"/>
    <s v="Premium"/>
    <n v="1"/>
    <n v="0"/>
    <n v="0"/>
    <n v="0"/>
    <x v="0"/>
    <n v="0"/>
    <n v="0"/>
    <m/>
    <n v="74.2"/>
  </r>
  <r>
    <s v="USR-100655"/>
    <d v="2025-01-12T00:00:00"/>
    <x v="0"/>
    <x v="1"/>
    <x v="1"/>
    <x v="1"/>
    <s v="Free"/>
    <n v="0"/>
    <n v="0"/>
    <n v="0"/>
    <n v="0"/>
    <x v="0"/>
    <n v="0"/>
    <n v="0"/>
    <m/>
    <n v="46.3"/>
  </r>
  <r>
    <s v="USR-100656"/>
    <d v="2025-03-12T00:00:00"/>
    <x v="0"/>
    <x v="1"/>
    <x v="1"/>
    <x v="1"/>
    <s v="Premium"/>
    <n v="1"/>
    <n v="0"/>
    <n v="0"/>
    <n v="0"/>
    <x v="0"/>
    <n v="0"/>
    <n v="0"/>
    <m/>
    <n v="62"/>
  </r>
  <r>
    <s v="USR-100657"/>
    <d v="2025-04-02T00:00:00"/>
    <x v="0"/>
    <x v="3"/>
    <x v="1"/>
    <x v="1"/>
    <s v="Basic"/>
    <n v="0"/>
    <n v="0"/>
    <n v="0"/>
    <n v="0"/>
    <x v="0"/>
    <n v="0"/>
    <n v="0"/>
    <m/>
    <n v="55.6"/>
  </r>
  <r>
    <s v="USR-100658"/>
    <d v="2025-01-13T00:00:00"/>
    <x v="0"/>
    <x v="3"/>
    <x v="1"/>
    <x v="1"/>
    <s v="Basic"/>
    <n v="1"/>
    <n v="0"/>
    <n v="0"/>
    <n v="0"/>
    <x v="0"/>
    <n v="0"/>
    <n v="0"/>
    <m/>
    <n v="62.8"/>
  </r>
  <r>
    <s v="USR-100659"/>
    <d v="2025-03-07T00:00:00"/>
    <x v="0"/>
    <x v="2"/>
    <x v="1"/>
    <x v="3"/>
    <s v="Free"/>
    <n v="0"/>
    <n v="0"/>
    <n v="0"/>
    <n v="0"/>
    <x v="0"/>
    <n v="0"/>
    <n v="0"/>
    <m/>
    <n v="73.099999999999994"/>
  </r>
  <r>
    <s v="USR-100660"/>
    <d v="2025-04-20T00:00:00"/>
    <x v="0"/>
    <x v="3"/>
    <x v="0"/>
    <x v="4"/>
    <s v="Free"/>
    <n v="1"/>
    <n v="1"/>
    <n v="1"/>
    <n v="1"/>
    <x v="22"/>
    <n v="0"/>
    <n v="0"/>
    <n v="2"/>
    <n v="57.2"/>
  </r>
  <r>
    <s v="USR-100661"/>
    <d v="2025-01-07T00:00:00"/>
    <x v="0"/>
    <x v="3"/>
    <x v="1"/>
    <x v="2"/>
    <s v="Free"/>
    <n v="1"/>
    <n v="0"/>
    <n v="0"/>
    <n v="0"/>
    <x v="0"/>
    <n v="0"/>
    <n v="0"/>
    <m/>
    <n v="67.900000000000006"/>
  </r>
  <r>
    <s v="USR-100662"/>
    <d v="2025-04-23T00:00:00"/>
    <x v="0"/>
    <x v="3"/>
    <x v="1"/>
    <x v="3"/>
    <s v="Free"/>
    <n v="0"/>
    <n v="0"/>
    <n v="0"/>
    <n v="0"/>
    <x v="0"/>
    <n v="0"/>
    <n v="0"/>
    <m/>
    <n v="50.1"/>
  </r>
  <r>
    <s v="USR-100663"/>
    <d v="2025-05-26T00:00:00"/>
    <x v="0"/>
    <x v="0"/>
    <x v="1"/>
    <x v="2"/>
    <s v="Basic"/>
    <n v="0"/>
    <n v="0"/>
    <n v="0"/>
    <n v="0"/>
    <x v="0"/>
    <n v="0"/>
    <n v="0"/>
    <m/>
    <n v="67.8"/>
  </r>
  <r>
    <s v="USR-100664"/>
    <d v="2025-03-17T00:00:00"/>
    <x v="0"/>
    <x v="0"/>
    <x v="0"/>
    <x v="4"/>
    <s v="Basic"/>
    <n v="1"/>
    <n v="1"/>
    <n v="1"/>
    <n v="0"/>
    <x v="0"/>
    <n v="0"/>
    <n v="0"/>
    <m/>
    <n v="60.8"/>
  </r>
  <r>
    <s v="USR-100665"/>
    <d v="2025-05-17T00:00:00"/>
    <x v="0"/>
    <x v="0"/>
    <x v="0"/>
    <x v="2"/>
    <s v="Basic"/>
    <n v="1"/>
    <n v="0"/>
    <n v="0"/>
    <n v="0"/>
    <x v="0"/>
    <n v="3"/>
    <n v="0"/>
    <m/>
    <n v="33.700000000000003"/>
  </r>
  <r>
    <s v="USR-100666"/>
    <d v="2025-02-21T00:00:00"/>
    <x v="0"/>
    <x v="0"/>
    <x v="1"/>
    <x v="2"/>
    <s v="Basic"/>
    <n v="0"/>
    <n v="0"/>
    <n v="0"/>
    <n v="0"/>
    <x v="0"/>
    <n v="0"/>
    <n v="0"/>
    <m/>
    <n v="45.2"/>
  </r>
  <r>
    <s v="USR-100667"/>
    <d v="2025-02-25T00:00:00"/>
    <x v="0"/>
    <x v="2"/>
    <x v="0"/>
    <x v="2"/>
    <s v="Premium"/>
    <n v="0"/>
    <n v="0"/>
    <n v="0"/>
    <n v="0"/>
    <x v="0"/>
    <n v="0"/>
    <n v="0"/>
    <m/>
    <n v="48.2"/>
  </r>
  <r>
    <s v="USR-100668"/>
    <d v="2025-01-30T00:00:00"/>
    <x v="0"/>
    <x v="3"/>
    <x v="1"/>
    <x v="4"/>
    <s v="Free"/>
    <n v="1"/>
    <n v="1"/>
    <n v="0"/>
    <n v="0"/>
    <x v="0"/>
    <n v="1"/>
    <n v="0"/>
    <m/>
    <n v="44.8"/>
  </r>
  <r>
    <s v="USR-100669"/>
    <d v="2025-02-17T00:00:00"/>
    <x v="0"/>
    <x v="0"/>
    <x v="2"/>
    <x v="4"/>
    <s v="Basic"/>
    <n v="0"/>
    <n v="0"/>
    <n v="0"/>
    <n v="0"/>
    <x v="0"/>
    <n v="0"/>
    <n v="0"/>
    <m/>
    <n v="52.1"/>
  </r>
  <r>
    <s v="USR-100670"/>
    <d v="2025-05-17T00:00:00"/>
    <x v="0"/>
    <x v="0"/>
    <x v="0"/>
    <x v="2"/>
    <s v="Basic"/>
    <n v="1"/>
    <n v="0"/>
    <n v="0"/>
    <n v="0"/>
    <x v="0"/>
    <n v="0"/>
    <n v="0"/>
    <m/>
    <n v="30.7"/>
  </r>
  <r>
    <s v="USR-100671"/>
    <d v="2025-04-30T00:00:00"/>
    <x v="0"/>
    <x v="2"/>
    <x v="0"/>
    <x v="2"/>
    <s v="Free"/>
    <n v="1"/>
    <n v="0"/>
    <n v="0"/>
    <n v="0"/>
    <x v="0"/>
    <n v="0"/>
    <n v="0"/>
    <m/>
    <n v="58.4"/>
  </r>
  <r>
    <s v="USR-100672"/>
    <d v="2025-03-22T00:00:00"/>
    <x v="0"/>
    <x v="1"/>
    <x v="1"/>
    <x v="3"/>
    <s v="Free"/>
    <n v="1"/>
    <n v="1"/>
    <n v="0"/>
    <n v="0"/>
    <x v="0"/>
    <n v="0"/>
    <n v="0"/>
    <m/>
    <n v="52.6"/>
  </r>
  <r>
    <s v="USR-100673"/>
    <d v="2025-01-10T00:00:00"/>
    <x v="0"/>
    <x v="1"/>
    <x v="3"/>
    <x v="2"/>
    <s v="Free"/>
    <n v="1"/>
    <n v="0"/>
    <n v="0"/>
    <n v="0"/>
    <x v="0"/>
    <n v="1"/>
    <n v="0"/>
    <m/>
    <n v="19.100000000000001"/>
  </r>
  <r>
    <s v="USR-100674"/>
    <d v="2025-03-21T00:00:00"/>
    <x v="0"/>
    <x v="3"/>
    <x v="3"/>
    <x v="2"/>
    <s v="Free"/>
    <n v="1"/>
    <n v="0"/>
    <n v="0"/>
    <n v="0"/>
    <x v="0"/>
    <n v="0"/>
    <n v="0"/>
    <m/>
    <n v="36.799999999999997"/>
  </r>
  <r>
    <s v="USR-100675"/>
    <d v="2025-05-12T00:00:00"/>
    <x v="0"/>
    <x v="0"/>
    <x v="0"/>
    <x v="2"/>
    <s v="Basic"/>
    <n v="0"/>
    <n v="0"/>
    <n v="0"/>
    <n v="0"/>
    <x v="0"/>
    <n v="0"/>
    <n v="0"/>
    <m/>
    <n v="68.5"/>
  </r>
  <r>
    <s v="USR-100676"/>
    <d v="2025-05-24T00:00:00"/>
    <x v="0"/>
    <x v="1"/>
    <x v="1"/>
    <x v="2"/>
    <s v="Free"/>
    <n v="1"/>
    <n v="1"/>
    <n v="1"/>
    <n v="0"/>
    <x v="0"/>
    <n v="0"/>
    <n v="0"/>
    <m/>
    <n v="40.1"/>
  </r>
  <r>
    <s v="USR-100677"/>
    <d v="2025-05-03T00:00:00"/>
    <x v="0"/>
    <x v="1"/>
    <x v="2"/>
    <x v="1"/>
    <s v="Free"/>
    <n v="1"/>
    <n v="0"/>
    <n v="0"/>
    <n v="0"/>
    <x v="0"/>
    <n v="0"/>
    <n v="0"/>
    <m/>
    <n v="47.5"/>
  </r>
  <r>
    <s v="USR-100678"/>
    <d v="2025-01-14T00:00:00"/>
    <x v="0"/>
    <x v="3"/>
    <x v="1"/>
    <x v="1"/>
    <s v="Basic"/>
    <n v="1"/>
    <n v="0"/>
    <n v="0"/>
    <n v="0"/>
    <x v="0"/>
    <n v="0"/>
    <n v="0"/>
    <m/>
    <n v="77.099999999999994"/>
  </r>
  <r>
    <s v="USR-100679"/>
    <d v="2025-03-27T00:00:00"/>
    <x v="0"/>
    <x v="1"/>
    <x v="1"/>
    <x v="4"/>
    <s v="Basic"/>
    <n v="1"/>
    <n v="0"/>
    <n v="0"/>
    <n v="0"/>
    <x v="0"/>
    <n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x v="0"/>
    <n v="1"/>
    <n v="0"/>
    <m/>
    <n v="52"/>
  </r>
  <r>
    <s v="USR-100681"/>
    <d v="2025-05-12T00:00:00"/>
    <x v="0"/>
    <x v="1"/>
    <x v="0"/>
    <x v="3"/>
    <s v="Premium"/>
    <n v="1"/>
    <n v="1"/>
    <n v="1"/>
    <n v="0"/>
    <x v="0"/>
    <n v="0"/>
    <n v="0"/>
    <m/>
    <n v="64.900000000000006"/>
  </r>
  <r>
    <s v="USR-100682"/>
    <d v="2025-03-14T00:00:00"/>
    <x v="0"/>
    <x v="0"/>
    <x v="1"/>
    <x v="1"/>
    <s v="Free"/>
    <n v="1"/>
    <n v="0"/>
    <n v="0"/>
    <n v="0"/>
    <x v="0"/>
    <n v="0"/>
    <n v="0"/>
    <m/>
    <n v="48.2"/>
  </r>
  <r>
    <s v="USR-100683"/>
    <d v="2025-05-20T00:00:00"/>
    <x v="0"/>
    <x v="2"/>
    <x v="1"/>
    <x v="1"/>
    <s v="Basic"/>
    <n v="0"/>
    <n v="0"/>
    <n v="0"/>
    <n v="0"/>
    <x v="0"/>
    <n v="0"/>
    <n v="0"/>
    <m/>
    <n v="42.1"/>
  </r>
  <r>
    <s v="USR-100684"/>
    <d v="2025-02-24T00:00:00"/>
    <x v="0"/>
    <x v="3"/>
    <x v="0"/>
    <x v="3"/>
    <s v="Free"/>
    <n v="0"/>
    <n v="0"/>
    <n v="0"/>
    <n v="0"/>
    <x v="0"/>
    <n v="0"/>
    <n v="0"/>
    <m/>
    <n v="27.6"/>
  </r>
  <r>
    <s v="USR-100685"/>
    <d v="2025-02-13T00:00:00"/>
    <x v="0"/>
    <x v="1"/>
    <x v="1"/>
    <x v="1"/>
    <s v="Premium"/>
    <n v="1"/>
    <n v="0"/>
    <n v="0"/>
    <n v="0"/>
    <x v="0"/>
    <n v="1"/>
    <n v="0"/>
    <m/>
    <n v="68.5"/>
  </r>
  <r>
    <s v="USR-100686"/>
    <d v="2025-02-06T00:00:00"/>
    <x v="0"/>
    <x v="3"/>
    <x v="0"/>
    <x v="1"/>
    <s v="Free"/>
    <n v="1"/>
    <n v="1"/>
    <n v="1"/>
    <n v="0"/>
    <x v="0"/>
    <n v="0"/>
    <n v="0"/>
    <m/>
    <n v="59.2"/>
  </r>
  <r>
    <s v="USR-100687"/>
    <d v="2025-03-02T00:00:00"/>
    <x v="0"/>
    <x v="0"/>
    <x v="1"/>
    <x v="4"/>
    <s v="Basic"/>
    <n v="1"/>
    <n v="0"/>
    <n v="0"/>
    <n v="0"/>
    <x v="0"/>
    <n v="0"/>
    <n v="0"/>
    <m/>
    <n v="63.3"/>
  </r>
  <r>
    <s v="USR-100688"/>
    <d v="2025-04-28T00:00:00"/>
    <x v="0"/>
    <x v="2"/>
    <x v="0"/>
    <x v="2"/>
    <s v="Free"/>
    <n v="0"/>
    <n v="0"/>
    <n v="0"/>
    <n v="0"/>
    <x v="0"/>
    <n v="0"/>
    <n v="0"/>
    <m/>
    <n v="55"/>
  </r>
  <r>
    <s v="USR-100689"/>
    <d v="2025-05-27T00:00:00"/>
    <x v="0"/>
    <x v="0"/>
    <x v="0"/>
    <x v="5"/>
    <s v="Premium"/>
    <n v="1"/>
    <n v="0"/>
    <n v="0"/>
    <n v="0"/>
    <x v="0"/>
    <n v="0"/>
    <n v="0"/>
    <m/>
    <n v="64.8"/>
  </r>
  <r>
    <s v="USR-100690"/>
    <d v="2025-04-07T00:00:00"/>
    <x v="0"/>
    <x v="3"/>
    <x v="0"/>
    <x v="1"/>
    <s v="Basic"/>
    <n v="0"/>
    <n v="0"/>
    <n v="0"/>
    <n v="0"/>
    <x v="0"/>
    <n v="2"/>
    <n v="0"/>
    <m/>
    <n v="41.8"/>
  </r>
  <r>
    <s v="USR-100691"/>
    <d v="2025-04-14T00:00:00"/>
    <x v="1"/>
    <x v="2"/>
    <x v="0"/>
    <x v="4"/>
    <s v="Basic"/>
    <n v="1"/>
    <n v="0"/>
    <n v="0"/>
    <n v="0"/>
    <x v="0"/>
    <n v="0"/>
    <n v="0"/>
    <m/>
    <n v="73.2"/>
  </r>
  <r>
    <s v="USR-100692"/>
    <d v="2025-05-09T00:00:00"/>
    <x v="1"/>
    <x v="2"/>
    <x v="0"/>
    <x v="1"/>
    <s v="Basic"/>
    <n v="1"/>
    <n v="1"/>
    <n v="1"/>
    <n v="0"/>
    <x v="0"/>
    <n v="3"/>
    <n v="0"/>
    <m/>
    <n v="55.7"/>
  </r>
  <r>
    <s v="USR-100693"/>
    <d v="2025-03-21T00:00:00"/>
    <x v="1"/>
    <x v="0"/>
    <x v="1"/>
    <x v="1"/>
    <s v="Free"/>
    <n v="1"/>
    <n v="1"/>
    <n v="1"/>
    <n v="0"/>
    <x v="0"/>
    <n v="0"/>
    <n v="0"/>
    <m/>
    <n v="82.8"/>
  </r>
  <r>
    <s v="USR-100694"/>
    <d v="2025-03-27T00:00:00"/>
    <x v="1"/>
    <x v="0"/>
    <x v="0"/>
    <x v="4"/>
    <s v="Free"/>
    <n v="1"/>
    <n v="0"/>
    <n v="0"/>
    <n v="0"/>
    <x v="0"/>
    <n v="0"/>
    <n v="0"/>
    <m/>
    <m/>
  </r>
  <r>
    <s v="USR-100695"/>
    <d v="2025-01-21T00:00:00"/>
    <x v="1"/>
    <x v="3"/>
    <x v="1"/>
    <x v="2"/>
    <s v="Free"/>
    <n v="0"/>
    <n v="0"/>
    <n v="0"/>
    <n v="0"/>
    <x v="0"/>
    <n v="0"/>
    <n v="0"/>
    <m/>
    <n v="34.4"/>
  </r>
  <r>
    <s v="USR-100696"/>
    <d v="2025-03-19T00:00:00"/>
    <x v="1"/>
    <x v="2"/>
    <x v="0"/>
    <x v="0"/>
    <s v="Free"/>
    <n v="1"/>
    <n v="0"/>
    <n v="0"/>
    <n v="0"/>
    <x v="0"/>
    <n v="0"/>
    <n v="0"/>
    <m/>
    <n v="45.2"/>
  </r>
  <r>
    <s v="USR-100697"/>
    <d v="2025-05-27T00:00:00"/>
    <x v="1"/>
    <x v="0"/>
    <x v="1"/>
    <x v="1"/>
    <s v="Basic"/>
    <n v="1"/>
    <n v="0"/>
    <n v="0"/>
    <n v="0"/>
    <x v="0"/>
    <n v="0"/>
    <n v="0"/>
    <m/>
    <n v="71.599999999999994"/>
  </r>
  <r>
    <s v="USR-100698"/>
    <d v="2025-01-01T00:00:00"/>
    <x v="1"/>
    <x v="0"/>
    <x v="1"/>
    <x v="4"/>
    <s v="Free"/>
    <n v="1"/>
    <n v="1"/>
    <n v="1"/>
    <n v="0"/>
    <x v="0"/>
    <n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x v="0"/>
    <n v="1"/>
    <n v="0"/>
    <m/>
    <n v="37.700000000000003"/>
  </r>
  <r>
    <s v="USR-100700"/>
    <d v="2025-03-17T00:00:00"/>
    <x v="1"/>
    <x v="1"/>
    <x v="0"/>
    <x v="1"/>
    <s v="Basic"/>
    <n v="1"/>
    <n v="0"/>
    <n v="0"/>
    <n v="0"/>
    <x v="0"/>
    <n v="1"/>
    <n v="0"/>
    <m/>
    <n v="60.8"/>
  </r>
  <r>
    <s v="USR-100701"/>
    <d v="2025-05-05T00:00:00"/>
    <x v="1"/>
    <x v="0"/>
    <x v="1"/>
    <x v="1"/>
    <s v="Free"/>
    <n v="1"/>
    <n v="1"/>
    <n v="1"/>
    <n v="1"/>
    <x v="23"/>
    <n v="0"/>
    <n v="0"/>
    <n v="10"/>
    <n v="80.7"/>
  </r>
  <r>
    <s v="USR-100702"/>
    <d v="2025-05-04T00:00:00"/>
    <x v="1"/>
    <x v="3"/>
    <x v="1"/>
    <x v="4"/>
    <s v="Free"/>
    <n v="1"/>
    <n v="0"/>
    <n v="0"/>
    <n v="0"/>
    <x v="0"/>
    <n v="0"/>
    <n v="0"/>
    <m/>
    <n v="69.2"/>
  </r>
  <r>
    <s v="USR-100703"/>
    <d v="2025-03-25T00:00:00"/>
    <x v="1"/>
    <x v="0"/>
    <x v="1"/>
    <x v="4"/>
    <s v="Premium"/>
    <n v="0"/>
    <n v="0"/>
    <n v="0"/>
    <n v="0"/>
    <x v="0"/>
    <n v="3"/>
    <n v="0"/>
    <m/>
    <n v="55"/>
  </r>
  <r>
    <s v="USR-100704"/>
    <d v="2025-04-17T00:00:00"/>
    <x v="1"/>
    <x v="1"/>
    <x v="1"/>
    <x v="0"/>
    <s v="Free"/>
    <n v="0"/>
    <n v="0"/>
    <n v="0"/>
    <n v="0"/>
    <x v="0"/>
    <n v="1"/>
    <n v="0"/>
    <m/>
    <n v="73.599999999999994"/>
  </r>
  <r>
    <s v="USR-100705"/>
    <d v="2025-05-23T00:00:00"/>
    <x v="1"/>
    <x v="3"/>
    <x v="1"/>
    <x v="3"/>
    <s v="Basic"/>
    <n v="1"/>
    <n v="1"/>
    <n v="1"/>
    <n v="0"/>
    <x v="0"/>
    <n v="1"/>
    <n v="0"/>
    <m/>
    <n v="47.3"/>
  </r>
  <r>
    <s v="USR-100706"/>
    <d v="2025-01-13T00:00:00"/>
    <x v="1"/>
    <x v="0"/>
    <x v="1"/>
    <x v="1"/>
    <s v="Basic"/>
    <n v="0"/>
    <n v="0"/>
    <n v="0"/>
    <n v="0"/>
    <x v="0"/>
    <n v="0"/>
    <n v="0"/>
    <m/>
    <n v="43.6"/>
  </r>
  <r>
    <s v="USR-100707"/>
    <d v="2025-01-29T00:00:00"/>
    <x v="1"/>
    <x v="0"/>
    <x v="0"/>
    <x v="1"/>
    <s v="Basic"/>
    <n v="1"/>
    <n v="0"/>
    <n v="0"/>
    <n v="0"/>
    <x v="0"/>
    <n v="0"/>
    <n v="0"/>
    <m/>
    <m/>
  </r>
  <r>
    <s v="USR-100708"/>
    <d v="2025-05-11T00:00:00"/>
    <x v="1"/>
    <x v="3"/>
    <x v="1"/>
    <x v="0"/>
    <s v="Free"/>
    <n v="0"/>
    <n v="0"/>
    <n v="0"/>
    <n v="0"/>
    <x v="0"/>
    <n v="0"/>
    <n v="0"/>
    <m/>
    <n v="55.2"/>
  </r>
  <r>
    <s v="USR-100709"/>
    <d v="2025-04-22T00:00:00"/>
    <x v="1"/>
    <x v="3"/>
    <x v="1"/>
    <x v="1"/>
    <s v="Basic"/>
    <n v="1"/>
    <n v="0"/>
    <n v="0"/>
    <n v="0"/>
    <x v="0"/>
    <n v="0"/>
    <n v="0"/>
    <m/>
    <n v="49.4"/>
  </r>
  <r>
    <s v="USR-100710"/>
    <d v="2025-03-03T00:00:00"/>
    <x v="1"/>
    <x v="3"/>
    <x v="1"/>
    <x v="4"/>
    <s v="Free"/>
    <n v="1"/>
    <n v="1"/>
    <n v="1"/>
    <n v="0"/>
    <x v="0"/>
    <n v="1"/>
    <n v="0"/>
    <m/>
    <n v="60.1"/>
  </r>
  <r>
    <s v="USR-100711"/>
    <d v="2025-03-18T00:00:00"/>
    <x v="1"/>
    <x v="0"/>
    <x v="1"/>
    <x v="3"/>
    <s v="Free"/>
    <n v="1"/>
    <n v="0"/>
    <n v="0"/>
    <n v="0"/>
    <x v="0"/>
    <n v="0"/>
    <n v="0"/>
    <m/>
    <n v="55.9"/>
  </r>
  <r>
    <s v="USR-100712"/>
    <d v="2025-04-05T00:00:00"/>
    <x v="1"/>
    <x v="0"/>
    <x v="1"/>
    <x v="1"/>
    <s v="Basic"/>
    <n v="1"/>
    <n v="0"/>
    <n v="0"/>
    <n v="0"/>
    <x v="0"/>
    <n v="0"/>
    <n v="0"/>
    <m/>
    <n v="51.5"/>
  </r>
  <r>
    <s v="USR-100713"/>
    <d v="2025-04-16T00:00:00"/>
    <x v="1"/>
    <x v="2"/>
    <x v="1"/>
    <x v="1"/>
    <s v="Free"/>
    <n v="1"/>
    <n v="1"/>
    <n v="1"/>
    <n v="1"/>
    <x v="24"/>
    <n v="0"/>
    <n v="0"/>
    <n v="11"/>
    <n v="57.9"/>
  </r>
  <r>
    <s v="USR-100714"/>
    <d v="2025-04-20T00:00:00"/>
    <x v="1"/>
    <x v="3"/>
    <x v="1"/>
    <x v="3"/>
    <s v="Free"/>
    <n v="1"/>
    <n v="1"/>
    <n v="1"/>
    <n v="1"/>
    <x v="25"/>
    <n v="2"/>
    <n v="0"/>
    <n v="8"/>
    <n v="59.2"/>
  </r>
  <r>
    <s v="USR-100715"/>
    <d v="2025-02-15T00:00:00"/>
    <x v="1"/>
    <x v="3"/>
    <x v="1"/>
    <x v="1"/>
    <s v="Free"/>
    <n v="0"/>
    <n v="0"/>
    <n v="0"/>
    <n v="0"/>
    <x v="0"/>
    <n v="0"/>
    <n v="0"/>
    <m/>
    <n v="64.2"/>
  </r>
  <r>
    <s v="USR-100716"/>
    <d v="2025-01-21T00:00:00"/>
    <x v="1"/>
    <x v="3"/>
    <x v="1"/>
    <x v="1"/>
    <s v="Free"/>
    <n v="1"/>
    <n v="0"/>
    <n v="0"/>
    <n v="0"/>
    <x v="0"/>
    <n v="0"/>
    <n v="0"/>
    <m/>
    <n v="68.8"/>
  </r>
  <r>
    <s v="USR-100717"/>
    <d v="2025-05-23T00:00:00"/>
    <x v="1"/>
    <x v="0"/>
    <x v="1"/>
    <x v="2"/>
    <s v="Premium"/>
    <n v="1"/>
    <n v="1"/>
    <n v="1"/>
    <n v="0"/>
    <x v="0"/>
    <n v="0"/>
    <n v="0"/>
    <m/>
    <n v="77.900000000000006"/>
  </r>
  <r>
    <s v="USR-100718"/>
    <d v="2025-01-22T00:00:00"/>
    <x v="1"/>
    <x v="1"/>
    <x v="1"/>
    <x v="2"/>
    <s v="Basic"/>
    <n v="0"/>
    <n v="0"/>
    <n v="0"/>
    <n v="0"/>
    <x v="0"/>
    <n v="0"/>
    <n v="0"/>
    <m/>
    <n v="92.1"/>
  </r>
  <r>
    <s v="USR-100719"/>
    <d v="2025-04-24T00:00:00"/>
    <x v="1"/>
    <x v="1"/>
    <x v="1"/>
    <x v="2"/>
    <s v="Premium"/>
    <n v="0"/>
    <n v="0"/>
    <n v="0"/>
    <n v="0"/>
    <x v="0"/>
    <n v="0"/>
    <n v="0"/>
    <m/>
    <n v="63.6"/>
  </r>
  <r>
    <s v="USR-100720"/>
    <d v="2025-01-17T00:00:00"/>
    <x v="1"/>
    <x v="1"/>
    <x v="0"/>
    <x v="0"/>
    <s v="Free"/>
    <n v="0"/>
    <n v="0"/>
    <n v="0"/>
    <n v="0"/>
    <x v="0"/>
    <n v="2"/>
    <n v="0"/>
    <m/>
    <n v="61.6"/>
  </r>
  <r>
    <s v="USR-100721"/>
    <d v="2025-01-22T00:00:00"/>
    <x v="1"/>
    <x v="2"/>
    <x v="1"/>
    <x v="3"/>
    <s v="Basic"/>
    <n v="1"/>
    <n v="1"/>
    <n v="0"/>
    <n v="0"/>
    <x v="0"/>
    <n v="0"/>
    <n v="0"/>
    <m/>
    <n v="82.3"/>
  </r>
  <r>
    <s v="USR-100722"/>
    <d v="2025-05-04T00:00:00"/>
    <x v="1"/>
    <x v="2"/>
    <x v="0"/>
    <x v="2"/>
    <s v="Free"/>
    <n v="1"/>
    <n v="0"/>
    <n v="0"/>
    <n v="0"/>
    <x v="0"/>
    <n v="0"/>
    <n v="0"/>
    <m/>
    <n v="79.3"/>
  </r>
  <r>
    <s v="USR-100723"/>
    <d v="2025-03-13T00:00:00"/>
    <x v="1"/>
    <x v="3"/>
    <x v="1"/>
    <x v="5"/>
    <s v="Free"/>
    <n v="0"/>
    <n v="0"/>
    <n v="0"/>
    <n v="0"/>
    <x v="0"/>
    <n v="0"/>
    <n v="0"/>
    <m/>
    <n v="57.7"/>
  </r>
  <r>
    <s v="USR-100724"/>
    <d v="2025-01-02T00:00:00"/>
    <x v="1"/>
    <x v="0"/>
    <x v="1"/>
    <x v="1"/>
    <s v="Basic"/>
    <n v="1"/>
    <n v="0"/>
    <n v="0"/>
    <n v="0"/>
    <x v="0"/>
    <n v="0"/>
    <n v="0"/>
    <m/>
    <n v="63.1"/>
  </r>
  <r>
    <s v="USR-100725"/>
    <d v="2025-01-13T00:00:00"/>
    <x v="1"/>
    <x v="2"/>
    <x v="1"/>
    <x v="2"/>
    <s v="Basic"/>
    <n v="0"/>
    <n v="0"/>
    <n v="0"/>
    <n v="0"/>
    <x v="0"/>
    <n v="0"/>
    <n v="0"/>
    <m/>
    <n v="72.3"/>
  </r>
  <r>
    <s v="USR-100726"/>
    <d v="2025-02-09T00:00:00"/>
    <x v="1"/>
    <x v="2"/>
    <x v="1"/>
    <x v="4"/>
    <s v="Free"/>
    <n v="1"/>
    <n v="1"/>
    <n v="1"/>
    <n v="0"/>
    <x v="0"/>
    <n v="0"/>
    <n v="0"/>
    <m/>
    <n v="78"/>
  </r>
  <r>
    <s v="USR-100727"/>
    <d v="2025-04-09T00:00:00"/>
    <x v="1"/>
    <x v="2"/>
    <x v="0"/>
    <x v="4"/>
    <s v="Free"/>
    <n v="1"/>
    <n v="1"/>
    <n v="0"/>
    <n v="0"/>
    <x v="0"/>
    <n v="2"/>
    <n v="0"/>
    <m/>
    <n v="59.1"/>
  </r>
  <r>
    <s v="USR-100728"/>
    <d v="2025-01-02T00:00:00"/>
    <x v="1"/>
    <x v="3"/>
    <x v="1"/>
    <x v="2"/>
    <s v="Free"/>
    <n v="1"/>
    <n v="1"/>
    <n v="1"/>
    <n v="1"/>
    <x v="26"/>
    <n v="0"/>
    <n v="0"/>
    <n v="7"/>
    <n v="47.1"/>
  </r>
  <r>
    <s v="USR-100729"/>
    <d v="2025-02-04T00:00:00"/>
    <x v="1"/>
    <x v="3"/>
    <x v="1"/>
    <x v="5"/>
    <s v="Premium"/>
    <n v="1"/>
    <n v="0"/>
    <n v="0"/>
    <n v="0"/>
    <x v="0"/>
    <n v="0"/>
    <n v="0"/>
    <m/>
    <n v="64.900000000000006"/>
  </r>
  <r>
    <s v="USR-100730"/>
    <d v="2025-02-19T00:00:00"/>
    <x v="1"/>
    <x v="3"/>
    <x v="2"/>
    <x v="2"/>
    <s v="Free"/>
    <n v="0"/>
    <n v="0"/>
    <n v="0"/>
    <n v="0"/>
    <x v="0"/>
    <n v="0"/>
    <n v="0"/>
    <m/>
    <n v="67.3"/>
  </r>
  <r>
    <s v="USR-100731"/>
    <d v="2025-04-01T00:00:00"/>
    <x v="1"/>
    <x v="2"/>
    <x v="1"/>
    <x v="2"/>
    <s v="Basic"/>
    <n v="1"/>
    <n v="0"/>
    <n v="0"/>
    <n v="0"/>
    <x v="0"/>
    <n v="2"/>
    <n v="0"/>
    <m/>
    <n v="52.9"/>
  </r>
  <r>
    <s v="USR-100732"/>
    <d v="2025-01-29T00:00:00"/>
    <x v="1"/>
    <x v="0"/>
    <x v="1"/>
    <x v="3"/>
    <s v="Free"/>
    <n v="1"/>
    <n v="1"/>
    <n v="1"/>
    <n v="1"/>
    <x v="27"/>
    <n v="1"/>
    <n v="0"/>
    <n v="4"/>
    <n v="69.900000000000006"/>
  </r>
  <r>
    <s v="USR-100733"/>
    <d v="2025-05-18T00:00:00"/>
    <x v="1"/>
    <x v="0"/>
    <x v="1"/>
    <x v="3"/>
    <s v="Basic"/>
    <n v="1"/>
    <n v="1"/>
    <n v="1"/>
    <n v="0"/>
    <x v="0"/>
    <n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x v="0"/>
    <n v="0"/>
    <n v="0"/>
    <m/>
    <n v="83.3"/>
  </r>
  <r>
    <s v="USR-100735"/>
    <d v="2025-03-28T00:00:00"/>
    <x v="1"/>
    <x v="2"/>
    <x v="0"/>
    <x v="0"/>
    <s v="Free"/>
    <n v="1"/>
    <n v="0"/>
    <n v="0"/>
    <n v="0"/>
    <x v="0"/>
    <n v="1"/>
    <n v="0"/>
    <m/>
    <n v="24.5"/>
  </r>
  <r>
    <s v="USR-100736"/>
    <d v="2025-04-01T00:00:00"/>
    <x v="1"/>
    <x v="1"/>
    <x v="1"/>
    <x v="2"/>
    <s v="Basic"/>
    <n v="1"/>
    <n v="1"/>
    <n v="0"/>
    <n v="0"/>
    <x v="0"/>
    <n v="1"/>
    <n v="0"/>
    <m/>
    <n v="56.9"/>
  </r>
  <r>
    <s v="USR-100737"/>
    <d v="2025-02-11T00:00:00"/>
    <x v="1"/>
    <x v="1"/>
    <x v="1"/>
    <x v="4"/>
    <s v="Basic"/>
    <n v="1"/>
    <n v="0"/>
    <n v="0"/>
    <n v="0"/>
    <x v="0"/>
    <n v="0"/>
    <n v="0"/>
    <m/>
    <n v="69.900000000000006"/>
  </r>
  <r>
    <s v="USR-100738"/>
    <d v="2025-03-04T00:00:00"/>
    <x v="1"/>
    <x v="3"/>
    <x v="1"/>
    <x v="1"/>
    <s v="Free"/>
    <n v="1"/>
    <n v="1"/>
    <n v="1"/>
    <n v="0"/>
    <x v="0"/>
    <n v="0"/>
    <n v="0"/>
    <m/>
    <n v="81.5"/>
  </r>
  <r>
    <s v="USR-100739"/>
    <d v="2025-01-21T00:00:00"/>
    <x v="1"/>
    <x v="0"/>
    <x v="2"/>
    <x v="4"/>
    <s v="Basic"/>
    <n v="0"/>
    <n v="0"/>
    <n v="0"/>
    <n v="0"/>
    <x v="0"/>
    <n v="2"/>
    <n v="0"/>
    <m/>
    <n v="37.9"/>
  </r>
  <r>
    <s v="USR-100740"/>
    <d v="2025-02-14T00:00:00"/>
    <x v="1"/>
    <x v="0"/>
    <x v="1"/>
    <x v="3"/>
    <s v="Free"/>
    <n v="0"/>
    <n v="0"/>
    <n v="0"/>
    <n v="0"/>
    <x v="0"/>
    <n v="1"/>
    <n v="0"/>
    <m/>
    <n v="61.7"/>
  </r>
  <r>
    <s v="USR-100741"/>
    <d v="2025-03-30T00:00:00"/>
    <x v="1"/>
    <x v="0"/>
    <x v="0"/>
    <x v="5"/>
    <s v="Premium"/>
    <n v="1"/>
    <n v="0"/>
    <n v="0"/>
    <n v="0"/>
    <x v="0"/>
    <n v="2"/>
    <n v="0"/>
    <m/>
    <n v="53.2"/>
  </r>
  <r>
    <s v="USR-100742"/>
    <d v="2025-01-08T00:00:00"/>
    <x v="1"/>
    <x v="0"/>
    <x v="1"/>
    <x v="3"/>
    <s v="Free"/>
    <n v="0"/>
    <n v="0"/>
    <n v="0"/>
    <n v="0"/>
    <x v="0"/>
    <n v="0"/>
    <n v="0"/>
    <m/>
    <n v="61.9"/>
  </r>
  <r>
    <s v="USR-100743"/>
    <d v="2025-02-07T00:00:00"/>
    <x v="1"/>
    <x v="0"/>
    <x v="1"/>
    <x v="4"/>
    <s v="Free"/>
    <n v="1"/>
    <n v="1"/>
    <n v="1"/>
    <n v="0"/>
    <x v="0"/>
    <n v="0"/>
    <n v="0"/>
    <m/>
    <n v="68.900000000000006"/>
  </r>
  <r>
    <s v="USR-100744"/>
    <d v="2025-02-01T00:00:00"/>
    <x v="1"/>
    <x v="0"/>
    <x v="2"/>
    <x v="2"/>
    <s v="Basic"/>
    <n v="0"/>
    <n v="0"/>
    <n v="0"/>
    <n v="0"/>
    <x v="0"/>
    <n v="0"/>
    <n v="0"/>
    <m/>
    <n v="66.3"/>
  </r>
  <r>
    <s v="USR-100745"/>
    <d v="2025-01-04T00:00:00"/>
    <x v="1"/>
    <x v="2"/>
    <x v="1"/>
    <x v="0"/>
    <s v="Free"/>
    <n v="1"/>
    <n v="1"/>
    <n v="1"/>
    <n v="0"/>
    <x v="0"/>
    <n v="0"/>
    <n v="0"/>
    <m/>
    <n v="54.6"/>
  </r>
  <r>
    <s v="USR-100746"/>
    <d v="2025-05-16T00:00:00"/>
    <x v="1"/>
    <x v="3"/>
    <x v="0"/>
    <x v="3"/>
    <s v="Free"/>
    <n v="0"/>
    <n v="0"/>
    <n v="0"/>
    <n v="0"/>
    <x v="0"/>
    <n v="0"/>
    <n v="0"/>
    <m/>
    <n v="53.8"/>
  </r>
  <r>
    <s v="USR-100747"/>
    <d v="2025-02-28T00:00:00"/>
    <x v="1"/>
    <x v="1"/>
    <x v="1"/>
    <x v="3"/>
    <s v="Free"/>
    <n v="1"/>
    <n v="0"/>
    <n v="0"/>
    <n v="0"/>
    <x v="0"/>
    <n v="0"/>
    <n v="0"/>
    <m/>
    <n v="59.5"/>
  </r>
  <r>
    <s v="USR-100748"/>
    <d v="2025-04-12T00:00:00"/>
    <x v="1"/>
    <x v="0"/>
    <x v="1"/>
    <x v="3"/>
    <s v="Free"/>
    <n v="1"/>
    <n v="0"/>
    <n v="0"/>
    <n v="0"/>
    <x v="0"/>
    <n v="0"/>
    <n v="0"/>
    <m/>
    <n v="52.6"/>
  </r>
  <r>
    <s v="USR-100749"/>
    <d v="2025-03-23T00:00:00"/>
    <x v="1"/>
    <x v="3"/>
    <x v="0"/>
    <x v="1"/>
    <s v="Free"/>
    <n v="0"/>
    <n v="0"/>
    <n v="0"/>
    <n v="0"/>
    <x v="0"/>
    <n v="0"/>
    <n v="0"/>
    <m/>
    <n v="49"/>
  </r>
  <r>
    <s v="USR-100750"/>
    <d v="2025-05-29T00:00:00"/>
    <x v="1"/>
    <x v="0"/>
    <x v="2"/>
    <x v="1"/>
    <s v="Free"/>
    <n v="1"/>
    <n v="0"/>
    <n v="0"/>
    <n v="0"/>
    <x v="0"/>
    <n v="0"/>
    <n v="0"/>
    <m/>
    <n v="59.3"/>
  </r>
  <r>
    <s v="USR-100751"/>
    <d v="2025-05-21T00:00:00"/>
    <x v="1"/>
    <x v="3"/>
    <x v="0"/>
    <x v="1"/>
    <s v="Basic"/>
    <n v="0"/>
    <n v="0"/>
    <n v="0"/>
    <n v="0"/>
    <x v="0"/>
    <n v="0"/>
    <n v="0"/>
    <m/>
    <n v="67.2"/>
  </r>
  <r>
    <s v="USR-100752"/>
    <d v="2025-01-05T00:00:00"/>
    <x v="1"/>
    <x v="3"/>
    <x v="1"/>
    <x v="3"/>
    <s v="Premium"/>
    <n v="0"/>
    <n v="0"/>
    <n v="0"/>
    <n v="0"/>
    <x v="0"/>
    <n v="0"/>
    <n v="0"/>
    <m/>
    <n v="73.5"/>
  </r>
  <r>
    <s v="USR-100753"/>
    <d v="2025-03-19T00:00:00"/>
    <x v="1"/>
    <x v="2"/>
    <x v="2"/>
    <x v="1"/>
    <s v="Free"/>
    <n v="1"/>
    <n v="0"/>
    <n v="0"/>
    <n v="0"/>
    <x v="0"/>
    <n v="0"/>
    <n v="0"/>
    <m/>
    <n v="61.2"/>
  </r>
  <r>
    <s v="USR-100754"/>
    <d v="2025-04-24T00:00:00"/>
    <x v="1"/>
    <x v="2"/>
    <x v="1"/>
    <x v="1"/>
    <s v="Free"/>
    <n v="1"/>
    <n v="0"/>
    <n v="0"/>
    <n v="0"/>
    <x v="0"/>
    <n v="1"/>
    <n v="0"/>
    <m/>
    <n v="56.4"/>
  </r>
  <r>
    <s v="USR-100755"/>
    <d v="2025-03-10T00:00:00"/>
    <x v="1"/>
    <x v="0"/>
    <x v="2"/>
    <x v="1"/>
    <s v="Free"/>
    <n v="0"/>
    <n v="0"/>
    <n v="0"/>
    <n v="0"/>
    <x v="0"/>
    <n v="3"/>
    <n v="0"/>
    <m/>
    <n v="72.599999999999994"/>
  </r>
  <r>
    <s v="USR-100756"/>
    <d v="2025-02-22T00:00:00"/>
    <x v="1"/>
    <x v="3"/>
    <x v="2"/>
    <x v="3"/>
    <s v="Basic"/>
    <n v="1"/>
    <n v="0"/>
    <n v="0"/>
    <n v="0"/>
    <x v="0"/>
    <n v="0"/>
    <n v="0"/>
    <m/>
    <n v="61.7"/>
  </r>
  <r>
    <s v="USR-100757"/>
    <d v="2025-05-17T00:00:00"/>
    <x v="1"/>
    <x v="2"/>
    <x v="1"/>
    <x v="4"/>
    <s v="Free"/>
    <n v="0"/>
    <n v="0"/>
    <n v="0"/>
    <n v="0"/>
    <x v="0"/>
    <n v="1"/>
    <n v="0"/>
    <m/>
    <n v="66.900000000000006"/>
  </r>
  <r>
    <s v="USR-100758"/>
    <d v="2025-05-09T00:00:00"/>
    <x v="1"/>
    <x v="2"/>
    <x v="2"/>
    <x v="3"/>
    <s v="Premium"/>
    <n v="1"/>
    <n v="1"/>
    <n v="1"/>
    <n v="1"/>
    <x v="28"/>
    <n v="1"/>
    <n v="0"/>
    <n v="7"/>
    <n v="64.900000000000006"/>
  </r>
  <r>
    <s v="USR-100759"/>
    <d v="2025-04-26T00:00:00"/>
    <x v="1"/>
    <x v="2"/>
    <x v="2"/>
    <x v="1"/>
    <s v="Premium"/>
    <n v="1"/>
    <n v="0"/>
    <n v="0"/>
    <n v="0"/>
    <x v="0"/>
    <n v="0"/>
    <n v="0"/>
    <m/>
    <n v="57.5"/>
  </r>
  <r>
    <s v="USR-100760"/>
    <d v="2025-03-15T00:00:00"/>
    <x v="1"/>
    <x v="1"/>
    <x v="0"/>
    <x v="4"/>
    <s v="Free"/>
    <n v="1"/>
    <n v="1"/>
    <n v="1"/>
    <n v="0"/>
    <x v="0"/>
    <n v="0"/>
    <n v="0"/>
    <m/>
    <n v="76.3"/>
  </r>
  <r>
    <s v="USR-100761"/>
    <d v="2025-04-03T00:00:00"/>
    <x v="1"/>
    <x v="0"/>
    <x v="1"/>
    <x v="2"/>
    <s v="Free"/>
    <n v="0"/>
    <n v="0"/>
    <n v="0"/>
    <n v="0"/>
    <x v="0"/>
    <n v="0"/>
    <n v="0"/>
    <m/>
    <n v="47.5"/>
  </r>
  <r>
    <s v="USR-100762"/>
    <d v="2025-03-26T00:00:00"/>
    <x v="1"/>
    <x v="3"/>
    <x v="1"/>
    <x v="2"/>
    <s v="Free"/>
    <n v="0"/>
    <n v="0"/>
    <n v="0"/>
    <n v="0"/>
    <x v="0"/>
    <n v="0"/>
    <n v="0"/>
    <m/>
    <m/>
  </r>
  <r>
    <s v="USR-100763"/>
    <d v="2025-02-05T00:00:00"/>
    <x v="1"/>
    <x v="1"/>
    <x v="0"/>
    <x v="1"/>
    <s v="Basic"/>
    <n v="1"/>
    <n v="1"/>
    <n v="0"/>
    <n v="0"/>
    <x v="0"/>
    <n v="2"/>
    <n v="0"/>
    <m/>
    <n v="71.599999999999994"/>
  </r>
  <r>
    <s v="USR-100764"/>
    <d v="2025-05-08T00:00:00"/>
    <x v="1"/>
    <x v="3"/>
    <x v="1"/>
    <x v="4"/>
    <s v="Basic"/>
    <n v="1"/>
    <n v="1"/>
    <n v="0"/>
    <n v="0"/>
    <x v="0"/>
    <n v="0"/>
    <n v="0"/>
    <m/>
    <n v="55.8"/>
  </r>
  <r>
    <s v="USR-100765"/>
    <d v="2025-03-25T00:00:00"/>
    <x v="1"/>
    <x v="3"/>
    <x v="0"/>
    <x v="1"/>
    <s v="Basic"/>
    <n v="0"/>
    <n v="0"/>
    <n v="0"/>
    <n v="0"/>
    <x v="0"/>
    <n v="1"/>
    <n v="0"/>
    <m/>
    <n v="60.1"/>
  </r>
  <r>
    <s v="USR-100766"/>
    <d v="2025-01-14T00:00:00"/>
    <x v="1"/>
    <x v="1"/>
    <x v="3"/>
    <x v="0"/>
    <s v="Basic"/>
    <n v="1"/>
    <n v="1"/>
    <n v="1"/>
    <n v="0"/>
    <x v="0"/>
    <n v="1"/>
    <n v="0"/>
    <m/>
    <n v="59.3"/>
  </r>
  <r>
    <s v="USR-100767"/>
    <d v="2025-03-26T00:00:00"/>
    <x v="1"/>
    <x v="0"/>
    <x v="1"/>
    <x v="1"/>
    <s v="Free"/>
    <n v="1"/>
    <n v="1"/>
    <n v="0"/>
    <n v="0"/>
    <x v="0"/>
    <n v="2"/>
    <n v="0"/>
    <m/>
    <n v="49.3"/>
  </r>
  <r>
    <s v="USR-100768"/>
    <d v="2025-01-16T00:00:00"/>
    <x v="1"/>
    <x v="2"/>
    <x v="1"/>
    <x v="3"/>
    <s v="Free"/>
    <n v="1"/>
    <n v="0"/>
    <n v="0"/>
    <n v="0"/>
    <x v="0"/>
    <n v="0"/>
    <n v="0"/>
    <m/>
    <n v="75"/>
  </r>
  <r>
    <s v="USR-100769"/>
    <d v="2025-01-04T00:00:00"/>
    <x v="1"/>
    <x v="2"/>
    <x v="1"/>
    <x v="4"/>
    <s v="Free"/>
    <n v="1"/>
    <n v="0"/>
    <n v="0"/>
    <n v="0"/>
    <x v="0"/>
    <n v="0"/>
    <n v="0"/>
    <m/>
    <n v="70.2"/>
  </r>
  <r>
    <s v="USR-100770"/>
    <d v="2025-02-09T00:00:00"/>
    <x v="1"/>
    <x v="3"/>
    <x v="0"/>
    <x v="1"/>
    <s v="Premium"/>
    <n v="1"/>
    <n v="1"/>
    <n v="1"/>
    <n v="0"/>
    <x v="0"/>
    <n v="0"/>
    <n v="0"/>
    <m/>
    <n v="56.6"/>
  </r>
  <r>
    <s v="USR-100771"/>
    <d v="2025-03-05T00:00:00"/>
    <x v="1"/>
    <x v="2"/>
    <x v="0"/>
    <x v="1"/>
    <s v="Free"/>
    <n v="1"/>
    <n v="0"/>
    <n v="0"/>
    <n v="0"/>
    <x v="0"/>
    <n v="0"/>
    <n v="0"/>
    <m/>
    <n v="65.400000000000006"/>
  </r>
  <r>
    <s v="USR-100772"/>
    <d v="2025-03-10T00:00:00"/>
    <x v="1"/>
    <x v="2"/>
    <x v="1"/>
    <x v="3"/>
    <s v="Basic"/>
    <n v="1"/>
    <n v="0"/>
    <n v="0"/>
    <n v="0"/>
    <x v="0"/>
    <n v="0"/>
    <n v="0"/>
    <m/>
    <n v="47.6"/>
  </r>
  <r>
    <s v="USR-100773"/>
    <d v="2025-02-27T00:00:00"/>
    <x v="1"/>
    <x v="2"/>
    <x v="0"/>
    <x v="2"/>
    <s v="Free"/>
    <n v="1"/>
    <n v="0"/>
    <n v="0"/>
    <n v="0"/>
    <x v="0"/>
    <n v="0"/>
    <n v="0"/>
    <m/>
    <n v="56.7"/>
  </r>
  <r>
    <s v="USR-100774"/>
    <d v="2025-03-10T00:00:00"/>
    <x v="1"/>
    <x v="0"/>
    <x v="0"/>
    <x v="3"/>
    <s v="Basic"/>
    <n v="1"/>
    <n v="1"/>
    <n v="0"/>
    <n v="0"/>
    <x v="0"/>
    <n v="0"/>
    <n v="0"/>
    <m/>
    <n v="71.400000000000006"/>
  </r>
  <r>
    <s v="USR-100775"/>
    <d v="2025-04-23T00:00:00"/>
    <x v="1"/>
    <x v="1"/>
    <x v="1"/>
    <x v="4"/>
    <s v="Free"/>
    <n v="0"/>
    <n v="0"/>
    <n v="0"/>
    <n v="0"/>
    <x v="0"/>
    <n v="2"/>
    <n v="0"/>
    <m/>
    <n v="60.5"/>
  </r>
  <r>
    <s v="USR-100776"/>
    <d v="2025-04-12T00:00:00"/>
    <x v="1"/>
    <x v="0"/>
    <x v="0"/>
    <x v="2"/>
    <s v="Free"/>
    <n v="1"/>
    <n v="0"/>
    <n v="0"/>
    <n v="0"/>
    <x v="0"/>
    <n v="0"/>
    <n v="0"/>
    <m/>
    <n v="46.7"/>
  </r>
  <r>
    <s v="USR-100777"/>
    <d v="2025-01-26T00:00:00"/>
    <x v="1"/>
    <x v="2"/>
    <x v="0"/>
    <x v="3"/>
    <s v="Free"/>
    <n v="0"/>
    <n v="0"/>
    <n v="0"/>
    <n v="0"/>
    <x v="0"/>
    <n v="0"/>
    <n v="0"/>
    <m/>
    <n v="61"/>
  </r>
  <r>
    <s v="USR-100778"/>
    <d v="2025-05-24T00:00:00"/>
    <x v="1"/>
    <x v="1"/>
    <x v="2"/>
    <x v="2"/>
    <s v="Free"/>
    <n v="0"/>
    <n v="0"/>
    <n v="0"/>
    <n v="0"/>
    <x v="0"/>
    <n v="0"/>
    <n v="0"/>
    <m/>
    <n v="60.9"/>
  </r>
  <r>
    <s v="USR-100779"/>
    <d v="2025-01-08T00:00:00"/>
    <x v="1"/>
    <x v="3"/>
    <x v="1"/>
    <x v="1"/>
    <s v="Free"/>
    <n v="1"/>
    <n v="0"/>
    <n v="0"/>
    <n v="0"/>
    <x v="0"/>
    <n v="0"/>
    <n v="0"/>
    <m/>
    <n v="67.099999999999994"/>
  </r>
  <r>
    <s v="USR-100780"/>
    <d v="2025-04-15T00:00:00"/>
    <x v="1"/>
    <x v="0"/>
    <x v="1"/>
    <x v="3"/>
    <s v="Free"/>
    <n v="1"/>
    <n v="1"/>
    <n v="0"/>
    <n v="0"/>
    <x v="0"/>
    <n v="0"/>
    <n v="0"/>
    <m/>
    <n v="59.6"/>
  </r>
  <r>
    <s v="USR-100781"/>
    <d v="2025-01-15T00:00:00"/>
    <x v="1"/>
    <x v="3"/>
    <x v="0"/>
    <x v="2"/>
    <s v="Free"/>
    <n v="1"/>
    <n v="0"/>
    <n v="0"/>
    <n v="0"/>
    <x v="0"/>
    <n v="0"/>
    <n v="0"/>
    <m/>
    <n v="83.8"/>
  </r>
  <r>
    <s v="USR-100782"/>
    <d v="2025-02-28T00:00:00"/>
    <x v="1"/>
    <x v="0"/>
    <x v="1"/>
    <x v="1"/>
    <s v="Basic"/>
    <n v="1"/>
    <n v="1"/>
    <n v="1"/>
    <n v="0"/>
    <x v="0"/>
    <n v="0"/>
    <n v="0"/>
    <m/>
    <n v="70.8"/>
  </r>
  <r>
    <s v="USR-100783"/>
    <d v="2025-01-01T00:00:00"/>
    <x v="1"/>
    <x v="0"/>
    <x v="2"/>
    <x v="1"/>
    <s v="Basic"/>
    <n v="0"/>
    <n v="0"/>
    <n v="0"/>
    <n v="0"/>
    <x v="0"/>
    <n v="0"/>
    <n v="0"/>
    <m/>
    <n v="65.900000000000006"/>
  </r>
  <r>
    <s v="USR-100784"/>
    <d v="2025-04-17T00:00:00"/>
    <x v="1"/>
    <x v="1"/>
    <x v="1"/>
    <x v="3"/>
    <s v="Free"/>
    <n v="1"/>
    <n v="0"/>
    <n v="0"/>
    <n v="0"/>
    <x v="0"/>
    <n v="0"/>
    <n v="0"/>
    <m/>
    <n v="58"/>
  </r>
  <r>
    <s v="USR-100785"/>
    <d v="2025-02-19T00:00:00"/>
    <x v="1"/>
    <x v="0"/>
    <x v="1"/>
    <x v="0"/>
    <s v="Basic"/>
    <n v="1"/>
    <n v="1"/>
    <n v="0"/>
    <n v="0"/>
    <x v="0"/>
    <n v="0"/>
    <n v="0"/>
    <m/>
    <n v="80.3"/>
  </r>
  <r>
    <s v="USR-100786"/>
    <d v="2025-03-14T00:00:00"/>
    <x v="1"/>
    <x v="0"/>
    <x v="0"/>
    <x v="1"/>
    <s v="Free"/>
    <n v="1"/>
    <n v="0"/>
    <n v="0"/>
    <n v="0"/>
    <x v="0"/>
    <n v="0"/>
    <n v="0"/>
    <m/>
    <n v="55.7"/>
  </r>
  <r>
    <s v="USR-100787"/>
    <d v="2025-04-21T00:00:00"/>
    <x v="1"/>
    <x v="0"/>
    <x v="1"/>
    <x v="1"/>
    <s v="Free"/>
    <n v="1"/>
    <n v="1"/>
    <n v="0"/>
    <n v="0"/>
    <x v="0"/>
    <n v="0"/>
    <n v="0"/>
    <m/>
    <n v="84.9"/>
  </r>
  <r>
    <s v="USR-100788"/>
    <d v="2025-02-14T00:00:00"/>
    <x v="1"/>
    <x v="0"/>
    <x v="1"/>
    <x v="1"/>
    <s v="Free"/>
    <n v="1"/>
    <n v="0"/>
    <n v="0"/>
    <n v="0"/>
    <x v="0"/>
    <n v="0"/>
    <n v="0"/>
    <m/>
    <n v="63.3"/>
  </r>
  <r>
    <s v="USR-100789"/>
    <d v="2025-05-30T00:00:00"/>
    <x v="1"/>
    <x v="1"/>
    <x v="1"/>
    <x v="1"/>
    <s v="Free"/>
    <n v="0"/>
    <n v="0"/>
    <n v="0"/>
    <n v="0"/>
    <x v="0"/>
    <n v="0"/>
    <n v="0"/>
    <m/>
    <n v="53.1"/>
  </r>
  <r>
    <s v="USR-100790"/>
    <d v="2025-01-20T00:00:00"/>
    <x v="1"/>
    <x v="1"/>
    <x v="1"/>
    <x v="1"/>
    <s v="Free"/>
    <n v="0"/>
    <n v="0"/>
    <n v="0"/>
    <n v="0"/>
    <x v="0"/>
    <n v="0"/>
    <n v="0"/>
    <m/>
    <n v="66"/>
  </r>
  <r>
    <s v="USR-100791"/>
    <d v="2025-03-17T00:00:00"/>
    <x v="1"/>
    <x v="1"/>
    <x v="1"/>
    <x v="4"/>
    <s v="Premium"/>
    <n v="0"/>
    <n v="0"/>
    <n v="0"/>
    <n v="0"/>
    <x v="0"/>
    <n v="0"/>
    <n v="0"/>
    <m/>
    <n v="54.7"/>
  </r>
  <r>
    <s v="USR-100792"/>
    <d v="2025-03-04T00:00:00"/>
    <x v="1"/>
    <x v="1"/>
    <x v="1"/>
    <x v="4"/>
    <s v="Free"/>
    <n v="1"/>
    <n v="1"/>
    <n v="0"/>
    <n v="0"/>
    <x v="0"/>
    <n v="1"/>
    <n v="0"/>
    <m/>
    <n v="41.2"/>
  </r>
  <r>
    <s v="USR-100793"/>
    <d v="2025-02-22T00:00:00"/>
    <x v="1"/>
    <x v="3"/>
    <x v="1"/>
    <x v="1"/>
    <s v="Premium"/>
    <n v="0"/>
    <n v="0"/>
    <n v="0"/>
    <n v="0"/>
    <x v="0"/>
    <n v="0"/>
    <n v="0"/>
    <m/>
    <n v="66.7"/>
  </r>
  <r>
    <s v="USR-100794"/>
    <d v="2025-05-02T00:00:00"/>
    <x v="1"/>
    <x v="0"/>
    <x v="1"/>
    <x v="2"/>
    <s v="Premium"/>
    <n v="0"/>
    <n v="0"/>
    <n v="0"/>
    <n v="0"/>
    <x v="0"/>
    <n v="0"/>
    <n v="0"/>
    <m/>
    <n v="39.4"/>
  </r>
  <r>
    <s v="USR-100795"/>
    <d v="2025-03-13T00:00:00"/>
    <x v="1"/>
    <x v="1"/>
    <x v="0"/>
    <x v="1"/>
    <s v="Premium"/>
    <n v="0"/>
    <n v="0"/>
    <n v="0"/>
    <n v="0"/>
    <x v="0"/>
    <n v="3"/>
    <n v="0"/>
    <m/>
    <n v="67"/>
  </r>
  <r>
    <s v="USR-100796"/>
    <d v="2025-05-31T00:00:00"/>
    <x v="1"/>
    <x v="3"/>
    <x v="1"/>
    <x v="1"/>
    <s v="Basic"/>
    <n v="1"/>
    <n v="0"/>
    <n v="0"/>
    <n v="0"/>
    <x v="0"/>
    <n v="0"/>
    <n v="0"/>
    <m/>
    <n v="50.4"/>
  </r>
  <r>
    <s v="USR-100797"/>
    <d v="2025-03-07T00:00:00"/>
    <x v="1"/>
    <x v="1"/>
    <x v="0"/>
    <x v="4"/>
    <s v="Free"/>
    <n v="1"/>
    <n v="0"/>
    <n v="0"/>
    <n v="0"/>
    <x v="0"/>
    <n v="0"/>
    <n v="0"/>
    <m/>
    <n v="53.8"/>
  </r>
  <r>
    <s v="USR-100798"/>
    <d v="2025-02-22T00:00:00"/>
    <x v="1"/>
    <x v="1"/>
    <x v="1"/>
    <x v="2"/>
    <s v="Basic"/>
    <n v="0"/>
    <n v="0"/>
    <n v="0"/>
    <n v="0"/>
    <x v="0"/>
    <n v="1"/>
    <n v="0"/>
    <m/>
    <n v="82.7"/>
  </r>
  <r>
    <s v="USR-100799"/>
    <d v="2025-01-05T00:00:00"/>
    <x v="1"/>
    <x v="1"/>
    <x v="0"/>
    <x v="2"/>
    <s v="Free"/>
    <n v="1"/>
    <n v="1"/>
    <n v="1"/>
    <n v="0"/>
    <x v="0"/>
    <n v="0"/>
    <n v="0"/>
    <m/>
    <n v="63.9"/>
  </r>
  <r>
    <s v="USR-100800"/>
    <d v="2025-01-21T00:00:00"/>
    <x v="1"/>
    <x v="1"/>
    <x v="1"/>
    <x v="3"/>
    <s v="Free"/>
    <n v="1"/>
    <n v="0"/>
    <n v="0"/>
    <n v="0"/>
    <x v="0"/>
    <n v="0"/>
    <n v="0"/>
    <m/>
    <n v="61.9"/>
  </r>
  <r>
    <s v="USR-100801"/>
    <d v="2025-01-25T00:00:00"/>
    <x v="1"/>
    <x v="0"/>
    <x v="0"/>
    <x v="4"/>
    <s v="Free"/>
    <n v="1"/>
    <n v="1"/>
    <n v="1"/>
    <n v="0"/>
    <x v="0"/>
    <n v="0"/>
    <n v="0"/>
    <m/>
    <n v="75"/>
  </r>
  <r>
    <s v="USR-100802"/>
    <d v="2025-04-04T00:00:00"/>
    <x v="1"/>
    <x v="1"/>
    <x v="1"/>
    <x v="2"/>
    <s v="Basic"/>
    <n v="1"/>
    <n v="1"/>
    <n v="1"/>
    <n v="0"/>
    <x v="0"/>
    <n v="0"/>
    <n v="0"/>
    <m/>
    <n v="43"/>
  </r>
  <r>
    <s v="USR-100803"/>
    <d v="2025-03-25T00:00:00"/>
    <x v="1"/>
    <x v="0"/>
    <x v="0"/>
    <x v="4"/>
    <s v="Premium"/>
    <n v="0"/>
    <n v="0"/>
    <n v="0"/>
    <n v="0"/>
    <x v="0"/>
    <n v="0"/>
    <n v="0"/>
    <m/>
    <n v="54.3"/>
  </r>
  <r>
    <s v="USR-100804"/>
    <d v="2025-03-19T00:00:00"/>
    <x v="1"/>
    <x v="1"/>
    <x v="1"/>
    <x v="4"/>
    <s v="Free"/>
    <n v="0"/>
    <n v="0"/>
    <n v="0"/>
    <n v="0"/>
    <x v="0"/>
    <n v="2"/>
    <n v="0"/>
    <m/>
    <n v="44.3"/>
  </r>
  <r>
    <s v="USR-100805"/>
    <d v="2025-04-24T00:00:00"/>
    <x v="1"/>
    <x v="1"/>
    <x v="0"/>
    <x v="1"/>
    <s v="Free"/>
    <n v="1"/>
    <n v="1"/>
    <n v="1"/>
    <n v="1"/>
    <x v="29"/>
    <n v="0"/>
    <n v="0"/>
    <n v="12"/>
    <n v="76"/>
  </r>
  <r>
    <s v="USR-100806"/>
    <d v="2025-04-04T00:00:00"/>
    <x v="1"/>
    <x v="3"/>
    <x v="2"/>
    <x v="1"/>
    <s v="Free"/>
    <n v="1"/>
    <n v="0"/>
    <n v="0"/>
    <n v="0"/>
    <x v="0"/>
    <n v="2"/>
    <n v="0"/>
    <m/>
    <n v="65.3"/>
  </r>
  <r>
    <s v="USR-100807"/>
    <d v="2025-03-28T00:00:00"/>
    <x v="1"/>
    <x v="3"/>
    <x v="0"/>
    <x v="2"/>
    <s v="Premium"/>
    <n v="1"/>
    <n v="0"/>
    <n v="0"/>
    <n v="0"/>
    <x v="0"/>
    <n v="0"/>
    <n v="0"/>
    <m/>
    <n v="71.2"/>
  </r>
  <r>
    <s v="USR-100808"/>
    <d v="2025-05-15T00:00:00"/>
    <x v="1"/>
    <x v="3"/>
    <x v="2"/>
    <x v="2"/>
    <s v="Free"/>
    <n v="1"/>
    <n v="0"/>
    <n v="0"/>
    <n v="0"/>
    <x v="0"/>
    <n v="0"/>
    <n v="0"/>
    <m/>
    <n v="77.900000000000006"/>
  </r>
  <r>
    <s v="USR-100809"/>
    <d v="2025-03-13T00:00:00"/>
    <x v="1"/>
    <x v="1"/>
    <x v="1"/>
    <x v="2"/>
    <s v="Free"/>
    <n v="0"/>
    <n v="0"/>
    <n v="0"/>
    <n v="0"/>
    <x v="0"/>
    <n v="0"/>
    <n v="0"/>
    <m/>
    <n v="48.6"/>
  </r>
  <r>
    <s v="USR-100810"/>
    <d v="2025-03-26T00:00:00"/>
    <x v="1"/>
    <x v="0"/>
    <x v="1"/>
    <x v="4"/>
    <s v="Premium"/>
    <n v="1"/>
    <n v="0"/>
    <n v="0"/>
    <n v="0"/>
    <x v="0"/>
    <n v="0"/>
    <n v="0"/>
    <m/>
    <n v="61.9"/>
  </r>
  <r>
    <s v="USR-100811"/>
    <d v="2025-01-09T00:00:00"/>
    <x v="1"/>
    <x v="0"/>
    <x v="1"/>
    <x v="4"/>
    <s v="Basic"/>
    <n v="0"/>
    <n v="0"/>
    <n v="0"/>
    <n v="0"/>
    <x v="0"/>
    <n v="1"/>
    <n v="0"/>
    <m/>
    <n v="58.7"/>
  </r>
  <r>
    <s v="USR-100812"/>
    <d v="2025-05-06T00:00:00"/>
    <x v="1"/>
    <x v="3"/>
    <x v="0"/>
    <x v="2"/>
    <s v="Free"/>
    <n v="1"/>
    <n v="0"/>
    <n v="0"/>
    <n v="0"/>
    <x v="0"/>
    <n v="0"/>
    <n v="0"/>
    <m/>
    <n v="69.599999999999994"/>
  </r>
  <r>
    <s v="USR-100813"/>
    <d v="2025-02-17T00:00:00"/>
    <x v="1"/>
    <x v="3"/>
    <x v="1"/>
    <x v="1"/>
    <s v="Free"/>
    <n v="1"/>
    <n v="0"/>
    <n v="0"/>
    <n v="0"/>
    <x v="0"/>
    <n v="0"/>
    <n v="0"/>
    <m/>
    <n v="51.5"/>
  </r>
  <r>
    <s v="USR-100814"/>
    <d v="2025-04-05T00:00:00"/>
    <x v="1"/>
    <x v="2"/>
    <x v="1"/>
    <x v="2"/>
    <s v="Free"/>
    <n v="1"/>
    <n v="1"/>
    <n v="1"/>
    <n v="1"/>
    <x v="30"/>
    <n v="3"/>
    <n v="0"/>
    <n v="8"/>
    <n v="46"/>
  </r>
  <r>
    <s v="USR-100815"/>
    <d v="2025-04-13T00:00:00"/>
    <x v="1"/>
    <x v="1"/>
    <x v="2"/>
    <x v="1"/>
    <s v="Free"/>
    <n v="1"/>
    <n v="0"/>
    <n v="0"/>
    <n v="0"/>
    <x v="0"/>
    <n v="0"/>
    <n v="0"/>
    <m/>
    <n v="81.7"/>
  </r>
  <r>
    <s v="USR-100816"/>
    <d v="2025-05-20T00:00:00"/>
    <x v="1"/>
    <x v="2"/>
    <x v="0"/>
    <x v="3"/>
    <s v="Free"/>
    <n v="1"/>
    <n v="0"/>
    <n v="0"/>
    <n v="0"/>
    <x v="0"/>
    <n v="0"/>
    <n v="0"/>
    <m/>
    <n v="48.3"/>
  </r>
  <r>
    <s v="USR-100817"/>
    <d v="2025-03-31T00:00:00"/>
    <x v="1"/>
    <x v="2"/>
    <x v="1"/>
    <x v="0"/>
    <s v="Free"/>
    <n v="1"/>
    <n v="1"/>
    <n v="0"/>
    <n v="0"/>
    <x v="0"/>
    <n v="0"/>
    <n v="0"/>
    <m/>
    <n v="85.6"/>
  </r>
  <r>
    <s v="USR-100818"/>
    <d v="2025-04-03T00:00:00"/>
    <x v="1"/>
    <x v="1"/>
    <x v="2"/>
    <x v="2"/>
    <s v="Basic"/>
    <n v="1"/>
    <n v="0"/>
    <n v="0"/>
    <n v="0"/>
    <x v="0"/>
    <n v="0"/>
    <n v="0"/>
    <m/>
    <n v="53.8"/>
  </r>
  <r>
    <s v="USR-100819"/>
    <d v="2025-02-04T00:00:00"/>
    <x v="1"/>
    <x v="3"/>
    <x v="1"/>
    <x v="1"/>
    <s v="Free"/>
    <n v="1"/>
    <n v="1"/>
    <n v="1"/>
    <n v="1"/>
    <x v="31"/>
    <n v="2"/>
    <n v="0"/>
    <n v="0"/>
    <n v="69.7"/>
  </r>
  <r>
    <s v="USR-100820"/>
    <d v="2025-05-19T00:00:00"/>
    <x v="1"/>
    <x v="2"/>
    <x v="1"/>
    <x v="1"/>
    <s v="Free"/>
    <n v="1"/>
    <n v="0"/>
    <n v="0"/>
    <n v="0"/>
    <x v="0"/>
    <n v="0"/>
    <n v="0"/>
    <m/>
    <n v="74.8"/>
  </r>
  <r>
    <s v="USR-100821"/>
    <d v="2025-03-08T00:00:00"/>
    <x v="1"/>
    <x v="2"/>
    <x v="0"/>
    <x v="2"/>
    <s v="Basic"/>
    <n v="0"/>
    <n v="0"/>
    <n v="0"/>
    <n v="0"/>
    <x v="0"/>
    <n v="0"/>
    <n v="0"/>
    <m/>
    <n v="87.9"/>
  </r>
  <r>
    <s v="USR-100822"/>
    <d v="2025-05-10T00:00:00"/>
    <x v="1"/>
    <x v="0"/>
    <x v="1"/>
    <x v="4"/>
    <s v="Basic"/>
    <n v="1"/>
    <n v="0"/>
    <n v="0"/>
    <n v="0"/>
    <x v="0"/>
    <n v="1"/>
    <n v="0"/>
    <m/>
    <n v="49.1"/>
  </r>
  <r>
    <s v="USR-100823"/>
    <d v="2025-01-02T00:00:00"/>
    <x v="1"/>
    <x v="2"/>
    <x v="0"/>
    <x v="4"/>
    <s v="Basic"/>
    <n v="1"/>
    <n v="0"/>
    <n v="0"/>
    <n v="0"/>
    <x v="0"/>
    <n v="2"/>
    <n v="0"/>
    <m/>
    <n v="73"/>
  </r>
  <r>
    <s v="USR-100824"/>
    <d v="2025-01-17T00:00:00"/>
    <x v="1"/>
    <x v="1"/>
    <x v="1"/>
    <x v="1"/>
    <s v="Basic"/>
    <n v="0"/>
    <n v="0"/>
    <n v="0"/>
    <n v="0"/>
    <x v="0"/>
    <n v="0"/>
    <n v="0"/>
    <m/>
    <n v="79.5"/>
  </r>
  <r>
    <s v="USR-100825"/>
    <d v="2025-05-21T00:00:00"/>
    <x v="1"/>
    <x v="1"/>
    <x v="1"/>
    <x v="3"/>
    <s v="Basic"/>
    <n v="1"/>
    <n v="1"/>
    <n v="1"/>
    <n v="1"/>
    <x v="32"/>
    <n v="1"/>
    <n v="0"/>
    <n v="6"/>
    <n v="93.2"/>
  </r>
  <r>
    <s v="USR-100826"/>
    <d v="2025-05-25T00:00:00"/>
    <x v="1"/>
    <x v="2"/>
    <x v="0"/>
    <x v="3"/>
    <s v="Free"/>
    <n v="1"/>
    <n v="0"/>
    <n v="0"/>
    <n v="0"/>
    <x v="0"/>
    <n v="3"/>
    <n v="0"/>
    <m/>
    <n v="77.5"/>
  </r>
  <r>
    <s v="USR-100827"/>
    <d v="2025-01-05T00:00:00"/>
    <x v="1"/>
    <x v="1"/>
    <x v="1"/>
    <x v="0"/>
    <s v="Basic"/>
    <n v="1"/>
    <n v="0"/>
    <n v="0"/>
    <n v="0"/>
    <x v="0"/>
    <n v="0"/>
    <n v="0"/>
    <m/>
    <n v="61"/>
  </r>
  <r>
    <s v="USR-100828"/>
    <d v="2025-02-24T00:00:00"/>
    <x v="1"/>
    <x v="3"/>
    <x v="0"/>
    <x v="1"/>
    <s v="Free"/>
    <n v="1"/>
    <n v="1"/>
    <n v="0"/>
    <n v="0"/>
    <x v="0"/>
    <n v="0"/>
    <n v="0"/>
    <m/>
    <n v="64.900000000000006"/>
  </r>
  <r>
    <s v="USR-100829"/>
    <d v="2025-01-21T00:00:00"/>
    <x v="1"/>
    <x v="2"/>
    <x v="1"/>
    <x v="2"/>
    <s v="Basic"/>
    <n v="1"/>
    <n v="0"/>
    <n v="0"/>
    <n v="0"/>
    <x v="0"/>
    <n v="0"/>
    <n v="0"/>
    <m/>
    <n v="87.5"/>
  </r>
  <r>
    <s v="USR-100830"/>
    <d v="2025-04-24T00:00:00"/>
    <x v="1"/>
    <x v="0"/>
    <x v="1"/>
    <x v="1"/>
    <s v="Basic"/>
    <n v="1"/>
    <n v="1"/>
    <n v="1"/>
    <n v="1"/>
    <x v="33"/>
    <n v="0"/>
    <n v="0"/>
    <n v="5"/>
    <n v="80.599999999999994"/>
  </r>
  <r>
    <s v="USR-100831"/>
    <d v="2025-01-07T00:00:00"/>
    <x v="1"/>
    <x v="1"/>
    <x v="0"/>
    <x v="1"/>
    <s v="Free"/>
    <n v="1"/>
    <n v="0"/>
    <n v="0"/>
    <n v="0"/>
    <x v="0"/>
    <n v="0"/>
    <n v="0"/>
    <m/>
    <n v="66.900000000000006"/>
  </r>
  <r>
    <s v="USR-100832"/>
    <d v="2025-05-31T00:00:00"/>
    <x v="1"/>
    <x v="3"/>
    <x v="2"/>
    <x v="1"/>
    <s v="Basic"/>
    <n v="1"/>
    <n v="1"/>
    <n v="1"/>
    <n v="0"/>
    <x v="0"/>
    <n v="0"/>
    <n v="0"/>
    <m/>
    <n v="58.8"/>
  </r>
  <r>
    <s v="USR-100833"/>
    <d v="2025-04-02T00:00:00"/>
    <x v="1"/>
    <x v="0"/>
    <x v="0"/>
    <x v="1"/>
    <s v="Basic"/>
    <n v="1"/>
    <n v="1"/>
    <n v="1"/>
    <n v="1"/>
    <x v="34"/>
    <n v="0"/>
    <n v="0"/>
    <n v="4"/>
    <n v="42.9"/>
  </r>
  <r>
    <s v="USR-100834"/>
    <d v="2025-04-21T00:00:00"/>
    <x v="1"/>
    <x v="2"/>
    <x v="1"/>
    <x v="1"/>
    <s v="Free"/>
    <n v="1"/>
    <n v="1"/>
    <n v="1"/>
    <n v="0"/>
    <x v="0"/>
    <n v="1"/>
    <n v="0"/>
    <m/>
    <n v="60.2"/>
  </r>
  <r>
    <s v="USR-100835"/>
    <d v="2025-05-05T00:00:00"/>
    <x v="1"/>
    <x v="2"/>
    <x v="1"/>
    <x v="2"/>
    <s v="Basic"/>
    <n v="1"/>
    <n v="0"/>
    <n v="0"/>
    <n v="0"/>
    <x v="0"/>
    <n v="0"/>
    <n v="0"/>
    <m/>
    <n v="42.7"/>
  </r>
  <r>
    <s v="USR-100836"/>
    <d v="2025-01-06T00:00:00"/>
    <x v="1"/>
    <x v="0"/>
    <x v="0"/>
    <x v="4"/>
    <s v="Free"/>
    <n v="1"/>
    <n v="1"/>
    <n v="1"/>
    <n v="1"/>
    <x v="35"/>
    <n v="0"/>
    <n v="0"/>
    <n v="7"/>
    <n v="60.8"/>
  </r>
  <r>
    <s v="USR-100837"/>
    <d v="2025-04-24T00:00:00"/>
    <x v="1"/>
    <x v="3"/>
    <x v="1"/>
    <x v="3"/>
    <s v="Free"/>
    <n v="1"/>
    <n v="1"/>
    <n v="1"/>
    <n v="1"/>
    <x v="36"/>
    <n v="0"/>
    <n v="0"/>
    <n v="9"/>
    <n v="79.3"/>
  </r>
  <r>
    <s v="USR-100838"/>
    <d v="2025-04-21T00:00:00"/>
    <x v="1"/>
    <x v="3"/>
    <x v="1"/>
    <x v="1"/>
    <s v="Basic"/>
    <n v="1"/>
    <n v="0"/>
    <n v="0"/>
    <n v="0"/>
    <x v="0"/>
    <n v="1"/>
    <n v="0"/>
    <m/>
    <n v="88.6"/>
  </r>
  <r>
    <s v="USR-100839"/>
    <d v="2025-02-09T00:00:00"/>
    <x v="1"/>
    <x v="1"/>
    <x v="1"/>
    <x v="1"/>
    <s v="Basic"/>
    <n v="1"/>
    <n v="1"/>
    <n v="1"/>
    <n v="0"/>
    <x v="0"/>
    <n v="0"/>
    <n v="0"/>
    <m/>
    <n v="63.1"/>
  </r>
  <r>
    <s v="USR-100840"/>
    <d v="2025-01-09T00:00:00"/>
    <x v="1"/>
    <x v="2"/>
    <x v="1"/>
    <x v="1"/>
    <s v="Premium"/>
    <n v="1"/>
    <n v="0"/>
    <n v="0"/>
    <n v="0"/>
    <x v="0"/>
    <n v="0"/>
    <n v="0"/>
    <m/>
    <n v="39.700000000000003"/>
  </r>
  <r>
    <s v="USR-100841"/>
    <d v="2025-02-16T00:00:00"/>
    <x v="1"/>
    <x v="0"/>
    <x v="1"/>
    <x v="2"/>
    <s v="Basic"/>
    <n v="0"/>
    <n v="0"/>
    <n v="0"/>
    <n v="0"/>
    <x v="0"/>
    <n v="0"/>
    <n v="0"/>
    <m/>
    <n v="67.2"/>
  </r>
  <r>
    <s v="USR-100842"/>
    <d v="2025-02-21T00:00:00"/>
    <x v="1"/>
    <x v="3"/>
    <x v="1"/>
    <x v="1"/>
    <s v="Free"/>
    <n v="1"/>
    <n v="1"/>
    <n v="1"/>
    <n v="0"/>
    <x v="0"/>
    <n v="0"/>
    <n v="0"/>
    <m/>
    <n v="62.3"/>
  </r>
  <r>
    <s v="USR-100843"/>
    <d v="2025-02-08T00:00:00"/>
    <x v="1"/>
    <x v="3"/>
    <x v="1"/>
    <x v="1"/>
    <s v="Premium"/>
    <n v="1"/>
    <n v="0"/>
    <n v="0"/>
    <n v="0"/>
    <x v="0"/>
    <n v="0"/>
    <n v="0"/>
    <m/>
    <m/>
  </r>
  <r>
    <s v="USR-100844"/>
    <d v="2025-01-22T00:00:00"/>
    <x v="1"/>
    <x v="3"/>
    <x v="1"/>
    <x v="2"/>
    <s v="Premium"/>
    <n v="0"/>
    <n v="0"/>
    <n v="0"/>
    <n v="0"/>
    <x v="0"/>
    <n v="0"/>
    <n v="0"/>
    <m/>
    <n v="60.7"/>
  </r>
  <r>
    <s v="USR-100845"/>
    <d v="2025-04-01T00:00:00"/>
    <x v="1"/>
    <x v="1"/>
    <x v="1"/>
    <x v="1"/>
    <s v="Basic"/>
    <n v="1"/>
    <n v="0"/>
    <n v="0"/>
    <n v="0"/>
    <x v="0"/>
    <n v="0"/>
    <n v="0"/>
    <m/>
    <n v="61.5"/>
  </r>
  <r>
    <s v="USR-100846"/>
    <d v="2025-01-21T00:00:00"/>
    <x v="1"/>
    <x v="0"/>
    <x v="1"/>
    <x v="2"/>
    <s v="Basic"/>
    <n v="1"/>
    <n v="0"/>
    <n v="0"/>
    <n v="0"/>
    <x v="0"/>
    <n v="0"/>
    <n v="0"/>
    <m/>
    <n v="75"/>
  </r>
  <r>
    <s v="USR-100847"/>
    <d v="2025-01-02T00:00:00"/>
    <x v="1"/>
    <x v="2"/>
    <x v="0"/>
    <x v="1"/>
    <s v="Free"/>
    <n v="1"/>
    <n v="1"/>
    <n v="0"/>
    <n v="0"/>
    <x v="0"/>
    <n v="0"/>
    <n v="0"/>
    <m/>
    <n v="51.9"/>
  </r>
  <r>
    <s v="USR-100848"/>
    <d v="2025-05-12T00:00:00"/>
    <x v="1"/>
    <x v="3"/>
    <x v="0"/>
    <x v="2"/>
    <s v="Free"/>
    <n v="0"/>
    <n v="0"/>
    <n v="0"/>
    <n v="0"/>
    <x v="0"/>
    <n v="0"/>
    <n v="0"/>
    <m/>
    <n v="34.5"/>
  </r>
  <r>
    <s v="USR-100849"/>
    <d v="2025-03-05T00:00:00"/>
    <x v="1"/>
    <x v="3"/>
    <x v="1"/>
    <x v="4"/>
    <s v="Basic"/>
    <n v="0"/>
    <n v="0"/>
    <n v="0"/>
    <n v="0"/>
    <x v="0"/>
    <n v="0"/>
    <n v="0"/>
    <m/>
    <n v="54.5"/>
  </r>
  <r>
    <s v="USR-100850"/>
    <d v="2025-01-24T00:00:00"/>
    <x v="1"/>
    <x v="2"/>
    <x v="1"/>
    <x v="1"/>
    <s v="Free"/>
    <n v="0"/>
    <n v="0"/>
    <n v="0"/>
    <n v="0"/>
    <x v="0"/>
    <n v="0"/>
    <n v="0"/>
    <m/>
    <n v="46"/>
  </r>
  <r>
    <s v="USR-100851"/>
    <d v="2025-01-31T00:00:00"/>
    <x v="1"/>
    <x v="2"/>
    <x v="0"/>
    <x v="0"/>
    <s v="Free"/>
    <n v="1"/>
    <n v="1"/>
    <n v="1"/>
    <n v="0"/>
    <x v="0"/>
    <n v="0"/>
    <n v="0"/>
    <m/>
    <n v="88.4"/>
  </r>
  <r>
    <s v="USR-100852"/>
    <d v="2025-01-24T00:00:00"/>
    <x v="1"/>
    <x v="0"/>
    <x v="2"/>
    <x v="1"/>
    <s v="Basic"/>
    <n v="1"/>
    <n v="0"/>
    <n v="0"/>
    <n v="0"/>
    <x v="0"/>
    <n v="0"/>
    <n v="0"/>
    <m/>
    <n v="69.5"/>
  </r>
  <r>
    <s v="USR-100853"/>
    <d v="2025-02-14T00:00:00"/>
    <x v="1"/>
    <x v="0"/>
    <x v="0"/>
    <x v="3"/>
    <s v="Basic"/>
    <n v="1"/>
    <n v="1"/>
    <n v="1"/>
    <n v="0"/>
    <x v="0"/>
    <n v="0"/>
    <n v="0"/>
    <m/>
    <n v="74.2"/>
  </r>
  <r>
    <s v="USR-100854"/>
    <d v="2025-05-27T00:00:00"/>
    <x v="1"/>
    <x v="0"/>
    <x v="1"/>
    <x v="1"/>
    <s v="Free"/>
    <n v="1"/>
    <n v="1"/>
    <n v="1"/>
    <n v="0"/>
    <x v="0"/>
    <n v="0"/>
    <n v="0"/>
    <m/>
    <n v="72.099999999999994"/>
  </r>
  <r>
    <s v="USR-100855"/>
    <d v="2025-02-28T00:00:00"/>
    <x v="1"/>
    <x v="0"/>
    <x v="1"/>
    <x v="2"/>
    <s v="Free"/>
    <n v="1"/>
    <n v="1"/>
    <n v="1"/>
    <n v="1"/>
    <x v="37"/>
    <n v="0"/>
    <n v="0"/>
    <n v="5"/>
    <n v="85.1"/>
  </r>
  <r>
    <s v="USR-100856"/>
    <d v="2025-05-27T00:00:00"/>
    <x v="1"/>
    <x v="0"/>
    <x v="1"/>
    <x v="1"/>
    <s v="Basic"/>
    <n v="1"/>
    <n v="1"/>
    <n v="1"/>
    <n v="0"/>
    <x v="0"/>
    <n v="0"/>
    <n v="0"/>
    <m/>
    <n v="49.5"/>
  </r>
  <r>
    <s v="USR-100857"/>
    <d v="2025-05-17T00:00:00"/>
    <x v="1"/>
    <x v="3"/>
    <x v="1"/>
    <x v="2"/>
    <s v="Premium"/>
    <n v="0"/>
    <n v="0"/>
    <n v="0"/>
    <n v="0"/>
    <x v="0"/>
    <n v="1"/>
    <n v="0"/>
    <m/>
    <n v="79"/>
  </r>
  <r>
    <s v="USR-100858"/>
    <d v="2025-01-10T00:00:00"/>
    <x v="1"/>
    <x v="1"/>
    <x v="0"/>
    <x v="4"/>
    <s v="Free"/>
    <n v="0"/>
    <n v="0"/>
    <n v="0"/>
    <n v="0"/>
    <x v="0"/>
    <n v="0"/>
    <n v="0"/>
    <m/>
    <n v="71.8"/>
  </r>
  <r>
    <s v="USR-100859"/>
    <d v="2025-04-22T00:00:00"/>
    <x v="1"/>
    <x v="0"/>
    <x v="1"/>
    <x v="0"/>
    <s v="Basic"/>
    <n v="1"/>
    <n v="1"/>
    <n v="1"/>
    <n v="1"/>
    <x v="38"/>
    <n v="0"/>
    <n v="0"/>
    <n v="6"/>
    <n v="60.4"/>
  </r>
  <r>
    <s v="USR-100860"/>
    <d v="2025-03-02T00:00:00"/>
    <x v="1"/>
    <x v="3"/>
    <x v="0"/>
    <x v="1"/>
    <s v="Basic"/>
    <n v="1"/>
    <n v="0"/>
    <n v="0"/>
    <n v="0"/>
    <x v="0"/>
    <n v="2"/>
    <n v="0"/>
    <m/>
    <n v="38.299999999999997"/>
  </r>
  <r>
    <s v="USR-100861"/>
    <d v="2025-03-23T00:00:00"/>
    <x v="1"/>
    <x v="2"/>
    <x v="1"/>
    <x v="2"/>
    <s v="Free"/>
    <n v="1"/>
    <n v="1"/>
    <n v="1"/>
    <n v="0"/>
    <x v="0"/>
    <n v="0"/>
    <n v="0"/>
    <m/>
    <n v="79.599999999999994"/>
  </r>
  <r>
    <s v="USR-100862"/>
    <d v="2025-02-12T00:00:00"/>
    <x v="1"/>
    <x v="2"/>
    <x v="1"/>
    <x v="0"/>
    <s v="Free"/>
    <n v="1"/>
    <n v="1"/>
    <n v="1"/>
    <n v="0"/>
    <x v="0"/>
    <n v="0"/>
    <n v="0"/>
    <m/>
    <n v="71.900000000000006"/>
  </r>
  <r>
    <s v="USR-100863"/>
    <d v="2025-05-03T00:00:00"/>
    <x v="1"/>
    <x v="3"/>
    <x v="1"/>
    <x v="3"/>
    <s v="Basic"/>
    <n v="1"/>
    <n v="0"/>
    <n v="0"/>
    <n v="0"/>
    <x v="0"/>
    <n v="0"/>
    <n v="0"/>
    <m/>
    <n v="54.6"/>
  </r>
  <r>
    <s v="USR-100864"/>
    <d v="2025-03-28T00:00:00"/>
    <x v="1"/>
    <x v="0"/>
    <x v="0"/>
    <x v="4"/>
    <s v="Free"/>
    <n v="1"/>
    <n v="0"/>
    <n v="0"/>
    <n v="0"/>
    <x v="0"/>
    <n v="3"/>
    <n v="0"/>
    <m/>
    <n v="49.3"/>
  </r>
  <r>
    <s v="USR-100865"/>
    <d v="2025-03-12T00:00:00"/>
    <x v="1"/>
    <x v="0"/>
    <x v="1"/>
    <x v="4"/>
    <s v="Basic"/>
    <n v="0"/>
    <n v="0"/>
    <n v="0"/>
    <n v="0"/>
    <x v="0"/>
    <n v="1"/>
    <n v="0"/>
    <m/>
    <n v="66.900000000000006"/>
  </r>
  <r>
    <s v="USR-100866"/>
    <d v="2025-04-27T00:00:00"/>
    <x v="1"/>
    <x v="2"/>
    <x v="1"/>
    <x v="2"/>
    <s v="Free"/>
    <n v="1"/>
    <n v="0"/>
    <n v="0"/>
    <n v="0"/>
    <x v="0"/>
    <n v="1"/>
    <n v="0"/>
    <m/>
    <n v="77.8"/>
  </r>
  <r>
    <s v="USR-100867"/>
    <d v="2025-04-02T00:00:00"/>
    <x v="1"/>
    <x v="3"/>
    <x v="1"/>
    <x v="3"/>
    <s v="Basic"/>
    <n v="1"/>
    <n v="0"/>
    <n v="0"/>
    <n v="0"/>
    <x v="0"/>
    <n v="0"/>
    <n v="0"/>
    <m/>
    <n v="63"/>
  </r>
  <r>
    <s v="USR-100868"/>
    <d v="2025-04-21T00:00:00"/>
    <x v="1"/>
    <x v="0"/>
    <x v="1"/>
    <x v="4"/>
    <s v="Free"/>
    <n v="0"/>
    <n v="0"/>
    <n v="0"/>
    <n v="0"/>
    <x v="0"/>
    <n v="0"/>
    <n v="0"/>
    <m/>
    <n v="79.8"/>
  </r>
  <r>
    <s v="USR-100869"/>
    <d v="2025-01-26T00:00:00"/>
    <x v="1"/>
    <x v="1"/>
    <x v="0"/>
    <x v="1"/>
    <s v="Basic"/>
    <n v="0"/>
    <n v="0"/>
    <n v="0"/>
    <n v="0"/>
    <x v="0"/>
    <n v="0"/>
    <n v="0"/>
    <m/>
    <n v="69.900000000000006"/>
  </r>
  <r>
    <s v="USR-100870"/>
    <d v="2025-01-06T00:00:00"/>
    <x v="1"/>
    <x v="1"/>
    <x v="1"/>
    <x v="1"/>
    <s v="Free"/>
    <n v="0"/>
    <n v="0"/>
    <n v="0"/>
    <n v="0"/>
    <x v="0"/>
    <n v="1"/>
    <n v="0"/>
    <m/>
    <n v="66.400000000000006"/>
  </r>
  <r>
    <s v="USR-100871"/>
    <d v="2025-02-07T00:00:00"/>
    <x v="1"/>
    <x v="2"/>
    <x v="1"/>
    <x v="1"/>
    <s v="Free"/>
    <n v="1"/>
    <n v="0"/>
    <n v="0"/>
    <n v="0"/>
    <x v="0"/>
    <n v="0"/>
    <n v="0"/>
    <m/>
    <n v="27.6"/>
  </r>
  <r>
    <s v="USR-100872"/>
    <d v="2025-05-07T00:00:00"/>
    <x v="1"/>
    <x v="1"/>
    <x v="1"/>
    <x v="1"/>
    <s v="Premium"/>
    <n v="1"/>
    <n v="0"/>
    <n v="0"/>
    <n v="0"/>
    <x v="0"/>
    <n v="1"/>
    <n v="0"/>
    <m/>
    <n v="56.5"/>
  </r>
  <r>
    <s v="USR-100873"/>
    <d v="2025-04-22T00:00:00"/>
    <x v="1"/>
    <x v="1"/>
    <x v="3"/>
    <x v="4"/>
    <s v="Free"/>
    <n v="1"/>
    <n v="0"/>
    <n v="0"/>
    <n v="0"/>
    <x v="0"/>
    <n v="0"/>
    <n v="0"/>
    <m/>
    <n v="67.8"/>
  </r>
  <r>
    <s v="USR-100874"/>
    <d v="2025-05-04T00:00:00"/>
    <x v="1"/>
    <x v="1"/>
    <x v="0"/>
    <x v="4"/>
    <s v="Free"/>
    <n v="1"/>
    <n v="0"/>
    <n v="0"/>
    <n v="0"/>
    <x v="0"/>
    <n v="0"/>
    <n v="0"/>
    <m/>
    <n v="80"/>
  </r>
  <r>
    <s v="USR-100875"/>
    <d v="2025-05-16T00:00:00"/>
    <x v="1"/>
    <x v="3"/>
    <x v="1"/>
    <x v="4"/>
    <s v="Basic"/>
    <n v="1"/>
    <n v="1"/>
    <n v="1"/>
    <n v="0"/>
    <x v="0"/>
    <n v="1"/>
    <n v="0"/>
    <m/>
    <n v="80.900000000000006"/>
  </r>
  <r>
    <s v="USR-100876"/>
    <d v="2025-02-11T00:00:00"/>
    <x v="1"/>
    <x v="1"/>
    <x v="1"/>
    <x v="2"/>
    <s v="Free"/>
    <n v="0"/>
    <n v="0"/>
    <n v="0"/>
    <n v="0"/>
    <x v="0"/>
    <n v="0"/>
    <n v="0"/>
    <m/>
    <n v="34.5"/>
  </r>
  <r>
    <s v="USR-100877"/>
    <d v="2025-05-09T00:00:00"/>
    <x v="1"/>
    <x v="2"/>
    <x v="0"/>
    <x v="1"/>
    <s v="Premium"/>
    <n v="1"/>
    <n v="0"/>
    <n v="0"/>
    <n v="0"/>
    <x v="0"/>
    <n v="0"/>
    <n v="0"/>
    <m/>
    <n v="73.5"/>
  </r>
  <r>
    <s v="USR-100878"/>
    <d v="2025-02-09T00:00:00"/>
    <x v="1"/>
    <x v="3"/>
    <x v="0"/>
    <x v="2"/>
    <s v="Free"/>
    <n v="1"/>
    <n v="1"/>
    <n v="0"/>
    <n v="0"/>
    <x v="0"/>
    <n v="0"/>
    <n v="0"/>
    <m/>
    <n v="70"/>
  </r>
  <r>
    <s v="USR-100879"/>
    <d v="2025-05-22T00:00:00"/>
    <x v="1"/>
    <x v="1"/>
    <x v="1"/>
    <x v="4"/>
    <s v="Basic"/>
    <n v="0"/>
    <n v="0"/>
    <n v="0"/>
    <n v="0"/>
    <x v="0"/>
    <n v="0"/>
    <n v="0"/>
    <m/>
    <n v="86.9"/>
  </r>
  <r>
    <s v="USR-100880"/>
    <d v="2025-05-24T00:00:00"/>
    <x v="1"/>
    <x v="2"/>
    <x v="1"/>
    <x v="4"/>
    <s v="Basic"/>
    <n v="0"/>
    <n v="0"/>
    <n v="0"/>
    <n v="0"/>
    <x v="0"/>
    <n v="0"/>
    <n v="0"/>
    <m/>
    <n v="66.900000000000006"/>
  </r>
  <r>
    <s v="USR-100881"/>
    <d v="2025-04-27T00:00:00"/>
    <x v="1"/>
    <x v="3"/>
    <x v="0"/>
    <x v="4"/>
    <s v="Basic"/>
    <n v="1"/>
    <n v="1"/>
    <n v="1"/>
    <n v="0"/>
    <x v="0"/>
    <n v="0"/>
    <n v="0"/>
    <m/>
    <n v="58.3"/>
  </r>
  <r>
    <s v="USR-100882"/>
    <d v="2025-03-19T00:00:00"/>
    <x v="1"/>
    <x v="2"/>
    <x v="1"/>
    <x v="2"/>
    <s v="Free"/>
    <n v="1"/>
    <n v="0"/>
    <n v="0"/>
    <n v="0"/>
    <x v="0"/>
    <n v="0"/>
    <n v="0"/>
    <m/>
    <n v="45"/>
  </r>
  <r>
    <s v="USR-100883"/>
    <d v="2025-05-20T00:00:00"/>
    <x v="1"/>
    <x v="3"/>
    <x v="1"/>
    <x v="1"/>
    <s v="Premium"/>
    <n v="0"/>
    <n v="0"/>
    <n v="0"/>
    <n v="0"/>
    <x v="0"/>
    <n v="0"/>
    <n v="0"/>
    <m/>
    <n v="60.8"/>
  </r>
  <r>
    <s v="USR-100884"/>
    <d v="2025-05-10T00:00:00"/>
    <x v="1"/>
    <x v="0"/>
    <x v="1"/>
    <x v="0"/>
    <s v="Premium"/>
    <n v="1"/>
    <n v="0"/>
    <n v="0"/>
    <n v="0"/>
    <x v="0"/>
    <n v="4"/>
    <n v="0"/>
    <m/>
    <n v="53.7"/>
  </r>
  <r>
    <s v="USR-100885"/>
    <d v="2025-03-29T00:00:00"/>
    <x v="1"/>
    <x v="2"/>
    <x v="1"/>
    <x v="4"/>
    <s v="Free"/>
    <n v="1"/>
    <n v="1"/>
    <n v="1"/>
    <n v="0"/>
    <x v="0"/>
    <n v="0"/>
    <n v="0"/>
    <m/>
    <n v="48.8"/>
  </r>
  <r>
    <s v="USR-100886"/>
    <d v="2025-04-03T00:00:00"/>
    <x v="1"/>
    <x v="1"/>
    <x v="0"/>
    <x v="3"/>
    <s v="Basic"/>
    <n v="0"/>
    <n v="0"/>
    <n v="0"/>
    <n v="0"/>
    <x v="0"/>
    <n v="0"/>
    <n v="0"/>
    <m/>
    <n v="52.9"/>
  </r>
  <r>
    <s v="USR-100887"/>
    <d v="2025-05-30T00:00:00"/>
    <x v="1"/>
    <x v="3"/>
    <x v="1"/>
    <x v="0"/>
    <s v="Free"/>
    <n v="1"/>
    <n v="0"/>
    <n v="0"/>
    <n v="0"/>
    <x v="0"/>
    <n v="0"/>
    <n v="0"/>
    <m/>
    <n v="42.4"/>
  </r>
  <r>
    <s v="USR-100888"/>
    <d v="2025-04-06T00:00:00"/>
    <x v="1"/>
    <x v="2"/>
    <x v="0"/>
    <x v="0"/>
    <s v="Free"/>
    <n v="1"/>
    <n v="0"/>
    <n v="0"/>
    <n v="0"/>
    <x v="0"/>
    <n v="0"/>
    <n v="0"/>
    <m/>
    <n v="58.7"/>
  </r>
  <r>
    <s v="USR-100889"/>
    <d v="2025-03-14T00:00:00"/>
    <x v="1"/>
    <x v="0"/>
    <x v="1"/>
    <x v="3"/>
    <s v="Free"/>
    <n v="1"/>
    <n v="1"/>
    <n v="1"/>
    <n v="1"/>
    <x v="39"/>
    <n v="0"/>
    <n v="0"/>
    <n v="1"/>
    <n v="67.8"/>
  </r>
  <r>
    <s v="USR-100890"/>
    <d v="2025-02-24T00:00:00"/>
    <x v="1"/>
    <x v="3"/>
    <x v="0"/>
    <x v="2"/>
    <s v="Basic"/>
    <n v="1"/>
    <n v="0"/>
    <n v="0"/>
    <n v="0"/>
    <x v="0"/>
    <n v="0"/>
    <n v="0"/>
    <m/>
    <n v="62.6"/>
  </r>
  <r>
    <s v="USR-100891"/>
    <d v="2025-03-04T00:00:00"/>
    <x v="1"/>
    <x v="1"/>
    <x v="1"/>
    <x v="0"/>
    <s v="Basic"/>
    <n v="1"/>
    <n v="0"/>
    <n v="0"/>
    <n v="0"/>
    <x v="0"/>
    <n v="0"/>
    <n v="0"/>
    <m/>
    <n v="82.4"/>
  </r>
  <r>
    <s v="USR-100892"/>
    <d v="2025-04-02T00:00:00"/>
    <x v="1"/>
    <x v="0"/>
    <x v="1"/>
    <x v="1"/>
    <s v="Free"/>
    <n v="1"/>
    <n v="1"/>
    <n v="1"/>
    <n v="0"/>
    <x v="0"/>
    <n v="0"/>
    <n v="0"/>
    <m/>
    <n v="50.4"/>
  </r>
  <r>
    <s v="USR-100893"/>
    <d v="2025-05-11T00:00:00"/>
    <x v="1"/>
    <x v="0"/>
    <x v="1"/>
    <x v="0"/>
    <s v="Premium"/>
    <n v="0"/>
    <n v="0"/>
    <n v="0"/>
    <n v="0"/>
    <x v="0"/>
    <n v="0"/>
    <n v="0"/>
    <m/>
    <n v="68.400000000000006"/>
  </r>
  <r>
    <s v="USR-100894"/>
    <d v="2025-05-10T00:00:00"/>
    <x v="1"/>
    <x v="1"/>
    <x v="2"/>
    <x v="2"/>
    <s v="Basic"/>
    <n v="1"/>
    <n v="1"/>
    <n v="1"/>
    <n v="0"/>
    <x v="0"/>
    <n v="0"/>
    <n v="0"/>
    <m/>
    <n v="58.8"/>
  </r>
  <r>
    <s v="USR-100895"/>
    <d v="2025-05-06T00:00:00"/>
    <x v="1"/>
    <x v="1"/>
    <x v="1"/>
    <x v="3"/>
    <s v="Free"/>
    <n v="1"/>
    <n v="1"/>
    <n v="0"/>
    <n v="0"/>
    <x v="0"/>
    <n v="2"/>
    <n v="0"/>
    <m/>
    <n v="28.3"/>
  </r>
  <r>
    <s v="USR-100896"/>
    <d v="2025-02-11T00:00:00"/>
    <x v="1"/>
    <x v="1"/>
    <x v="0"/>
    <x v="2"/>
    <s v="Free"/>
    <n v="1"/>
    <n v="1"/>
    <n v="0"/>
    <n v="0"/>
    <x v="0"/>
    <n v="0"/>
    <n v="0"/>
    <m/>
    <n v="44.1"/>
  </r>
  <r>
    <s v="USR-100897"/>
    <d v="2025-05-09T00:00:00"/>
    <x v="1"/>
    <x v="3"/>
    <x v="1"/>
    <x v="2"/>
    <s v="Premium"/>
    <n v="1"/>
    <n v="1"/>
    <n v="0"/>
    <n v="0"/>
    <x v="0"/>
    <n v="0"/>
    <n v="0"/>
    <m/>
    <n v="66.7"/>
  </r>
  <r>
    <s v="USR-100898"/>
    <d v="2025-02-02T00:00:00"/>
    <x v="1"/>
    <x v="3"/>
    <x v="1"/>
    <x v="5"/>
    <s v="Free"/>
    <n v="1"/>
    <n v="0"/>
    <n v="0"/>
    <n v="0"/>
    <x v="0"/>
    <n v="0"/>
    <n v="0"/>
    <m/>
    <n v="100"/>
  </r>
  <r>
    <s v="USR-100899"/>
    <d v="2025-04-03T00:00:00"/>
    <x v="1"/>
    <x v="3"/>
    <x v="1"/>
    <x v="4"/>
    <s v="Free"/>
    <n v="1"/>
    <n v="1"/>
    <n v="0"/>
    <n v="0"/>
    <x v="0"/>
    <n v="0"/>
    <n v="0"/>
    <m/>
    <n v="87.5"/>
  </r>
  <r>
    <s v="USR-100900"/>
    <d v="2025-02-15T00:00:00"/>
    <x v="1"/>
    <x v="0"/>
    <x v="0"/>
    <x v="1"/>
    <s v="Basic"/>
    <n v="1"/>
    <n v="0"/>
    <n v="0"/>
    <n v="0"/>
    <x v="0"/>
    <n v="2"/>
    <n v="0"/>
    <m/>
    <n v="65.400000000000006"/>
  </r>
  <r>
    <s v="USR-100901"/>
    <d v="2025-04-18T00:00:00"/>
    <x v="1"/>
    <x v="3"/>
    <x v="0"/>
    <x v="1"/>
    <s v="Free"/>
    <n v="1"/>
    <n v="0"/>
    <n v="0"/>
    <n v="0"/>
    <x v="0"/>
    <n v="0"/>
    <n v="0"/>
    <m/>
    <n v="22.9"/>
  </r>
  <r>
    <s v="USR-100902"/>
    <d v="2025-03-14T00:00:00"/>
    <x v="1"/>
    <x v="1"/>
    <x v="0"/>
    <x v="1"/>
    <s v="Premium"/>
    <n v="0"/>
    <n v="0"/>
    <n v="0"/>
    <n v="0"/>
    <x v="0"/>
    <n v="0"/>
    <n v="0"/>
    <m/>
    <n v="64.599999999999994"/>
  </r>
  <r>
    <s v="USR-100903"/>
    <d v="2025-03-29T00:00:00"/>
    <x v="1"/>
    <x v="3"/>
    <x v="1"/>
    <x v="3"/>
    <s v="Free"/>
    <n v="1"/>
    <n v="0"/>
    <n v="0"/>
    <n v="0"/>
    <x v="0"/>
    <n v="2"/>
    <n v="0"/>
    <m/>
    <n v="54.4"/>
  </r>
  <r>
    <s v="USR-100904"/>
    <d v="2025-02-13T00:00:00"/>
    <x v="1"/>
    <x v="0"/>
    <x v="0"/>
    <x v="1"/>
    <s v="Free"/>
    <n v="1"/>
    <n v="1"/>
    <n v="1"/>
    <n v="0"/>
    <x v="0"/>
    <n v="0"/>
    <n v="0"/>
    <m/>
    <n v="56.8"/>
  </r>
  <r>
    <s v="USR-100905"/>
    <d v="2025-01-23T00:00:00"/>
    <x v="1"/>
    <x v="3"/>
    <x v="1"/>
    <x v="2"/>
    <s v="Free"/>
    <n v="1"/>
    <n v="1"/>
    <n v="1"/>
    <n v="1"/>
    <x v="40"/>
    <n v="0"/>
    <n v="0"/>
    <n v="2"/>
    <n v="63.6"/>
  </r>
  <r>
    <s v="USR-100906"/>
    <d v="2025-02-24T00:00:00"/>
    <x v="1"/>
    <x v="2"/>
    <x v="1"/>
    <x v="4"/>
    <s v="Free"/>
    <n v="1"/>
    <n v="0"/>
    <n v="0"/>
    <n v="0"/>
    <x v="0"/>
    <n v="0"/>
    <n v="0"/>
    <m/>
    <n v="58.2"/>
  </r>
  <r>
    <s v="USR-100907"/>
    <d v="2025-02-28T00:00:00"/>
    <x v="1"/>
    <x v="1"/>
    <x v="1"/>
    <x v="2"/>
    <s v="Free"/>
    <n v="1"/>
    <n v="1"/>
    <n v="0"/>
    <n v="0"/>
    <x v="0"/>
    <n v="0"/>
    <n v="0"/>
    <m/>
    <n v="54.6"/>
  </r>
  <r>
    <s v="USR-100908"/>
    <d v="2025-01-07T00:00:00"/>
    <x v="1"/>
    <x v="1"/>
    <x v="2"/>
    <x v="1"/>
    <s v="Basic"/>
    <n v="1"/>
    <n v="0"/>
    <n v="0"/>
    <n v="0"/>
    <x v="0"/>
    <n v="0"/>
    <n v="0"/>
    <m/>
    <n v="81.900000000000006"/>
  </r>
  <r>
    <s v="USR-100909"/>
    <d v="2025-03-21T00:00:00"/>
    <x v="1"/>
    <x v="1"/>
    <x v="0"/>
    <x v="0"/>
    <s v="Free"/>
    <n v="1"/>
    <n v="0"/>
    <n v="0"/>
    <n v="0"/>
    <x v="0"/>
    <n v="3"/>
    <n v="0"/>
    <m/>
    <n v="53.3"/>
  </r>
  <r>
    <s v="USR-100910"/>
    <d v="2025-02-18T00:00:00"/>
    <x v="1"/>
    <x v="0"/>
    <x v="0"/>
    <x v="1"/>
    <s v="Basic"/>
    <n v="0"/>
    <n v="0"/>
    <n v="0"/>
    <n v="0"/>
    <x v="0"/>
    <n v="0"/>
    <n v="0"/>
    <m/>
    <n v="54.2"/>
  </r>
  <r>
    <s v="USR-100911"/>
    <d v="2025-01-05T00:00:00"/>
    <x v="1"/>
    <x v="0"/>
    <x v="1"/>
    <x v="2"/>
    <s v="Free"/>
    <n v="1"/>
    <n v="1"/>
    <n v="0"/>
    <n v="0"/>
    <x v="0"/>
    <n v="0"/>
    <n v="0"/>
    <m/>
    <n v="65.599999999999994"/>
  </r>
  <r>
    <s v="USR-100912"/>
    <d v="2025-03-11T00:00:00"/>
    <x v="1"/>
    <x v="2"/>
    <x v="0"/>
    <x v="1"/>
    <s v="Basic"/>
    <n v="1"/>
    <n v="0"/>
    <n v="0"/>
    <n v="0"/>
    <x v="0"/>
    <n v="1"/>
    <n v="0"/>
    <m/>
    <n v="56.5"/>
  </r>
  <r>
    <s v="USR-100913"/>
    <d v="2025-01-09T00:00:00"/>
    <x v="1"/>
    <x v="0"/>
    <x v="0"/>
    <x v="1"/>
    <s v="Basic"/>
    <n v="1"/>
    <n v="0"/>
    <n v="0"/>
    <n v="0"/>
    <x v="0"/>
    <n v="0"/>
    <n v="0"/>
    <m/>
    <n v="59.7"/>
  </r>
  <r>
    <s v="USR-100914"/>
    <d v="2025-01-08T00:00:00"/>
    <x v="1"/>
    <x v="3"/>
    <x v="1"/>
    <x v="1"/>
    <s v="Free"/>
    <n v="1"/>
    <n v="1"/>
    <n v="1"/>
    <n v="0"/>
    <x v="0"/>
    <n v="0"/>
    <n v="0"/>
    <m/>
    <n v="72.5"/>
  </r>
  <r>
    <s v="USR-100915"/>
    <d v="2025-05-01T00:00:00"/>
    <x v="1"/>
    <x v="2"/>
    <x v="0"/>
    <x v="2"/>
    <s v="Free"/>
    <n v="1"/>
    <n v="0"/>
    <n v="0"/>
    <n v="0"/>
    <x v="0"/>
    <n v="0"/>
    <n v="0"/>
    <m/>
    <n v="64.3"/>
  </r>
  <r>
    <s v="USR-100916"/>
    <d v="2025-03-03T00:00:00"/>
    <x v="1"/>
    <x v="3"/>
    <x v="1"/>
    <x v="4"/>
    <s v="Free"/>
    <n v="1"/>
    <n v="0"/>
    <n v="0"/>
    <n v="0"/>
    <x v="0"/>
    <n v="0"/>
    <n v="0"/>
    <m/>
    <n v="64.5"/>
  </r>
  <r>
    <s v="USR-100917"/>
    <d v="2025-02-23T00:00:00"/>
    <x v="1"/>
    <x v="1"/>
    <x v="0"/>
    <x v="4"/>
    <s v="Basic"/>
    <n v="1"/>
    <n v="1"/>
    <n v="1"/>
    <n v="0"/>
    <x v="0"/>
    <n v="0"/>
    <n v="0"/>
    <m/>
    <n v="70.599999999999994"/>
  </r>
  <r>
    <s v="USR-100918"/>
    <d v="2025-02-17T00:00:00"/>
    <x v="1"/>
    <x v="3"/>
    <x v="0"/>
    <x v="1"/>
    <s v="Basic"/>
    <n v="0"/>
    <n v="0"/>
    <n v="0"/>
    <n v="0"/>
    <x v="0"/>
    <n v="0"/>
    <n v="0"/>
    <m/>
    <n v="58.4"/>
  </r>
  <r>
    <s v="USR-100919"/>
    <d v="2025-05-21T00:00:00"/>
    <x v="1"/>
    <x v="2"/>
    <x v="1"/>
    <x v="1"/>
    <s v="Basic"/>
    <n v="1"/>
    <n v="0"/>
    <n v="0"/>
    <n v="0"/>
    <x v="0"/>
    <n v="0"/>
    <n v="0"/>
    <m/>
    <n v="56.6"/>
  </r>
  <r>
    <s v="USR-100920"/>
    <d v="2025-01-30T00:00:00"/>
    <x v="1"/>
    <x v="3"/>
    <x v="1"/>
    <x v="1"/>
    <s v="Free"/>
    <n v="1"/>
    <n v="0"/>
    <n v="0"/>
    <n v="0"/>
    <x v="0"/>
    <n v="0"/>
    <n v="0"/>
    <m/>
    <n v="61.8"/>
  </r>
  <r>
    <s v="USR-100921"/>
    <d v="2025-03-20T00:00:00"/>
    <x v="1"/>
    <x v="1"/>
    <x v="1"/>
    <x v="0"/>
    <s v="Free"/>
    <n v="1"/>
    <n v="1"/>
    <n v="1"/>
    <n v="1"/>
    <x v="41"/>
    <n v="0"/>
    <n v="0"/>
    <n v="8"/>
    <n v="43.4"/>
  </r>
  <r>
    <s v="USR-100922"/>
    <d v="2025-04-10T00:00:00"/>
    <x v="1"/>
    <x v="1"/>
    <x v="2"/>
    <x v="2"/>
    <s v="Free"/>
    <n v="0"/>
    <n v="0"/>
    <n v="0"/>
    <n v="0"/>
    <x v="0"/>
    <n v="0"/>
    <n v="0"/>
    <m/>
    <n v="43"/>
  </r>
  <r>
    <s v="USR-100923"/>
    <d v="2025-03-07T00:00:00"/>
    <x v="1"/>
    <x v="0"/>
    <x v="0"/>
    <x v="1"/>
    <s v="Free"/>
    <n v="1"/>
    <n v="1"/>
    <n v="1"/>
    <n v="0"/>
    <x v="0"/>
    <n v="0"/>
    <n v="0"/>
    <m/>
    <n v="51.1"/>
  </r>
  <r>
    <s v="USR-100924"/>
    <d v="2025-03-12T00:00:00"/>
    <x v="1"/>
    <x v="1"/>
    <x v="1"/>
    <x v="0"/>
    <s v="Basic"/>
    <n v="1"/>
    <n v="0"/>
    <n v="0"/>
    <n v="0"/>
    <x v="0"/>
    <n v="0"/>
    <n v="0"/>
    <m/>
    <n v="48.8"/>
  </r>
  <r>
    <s v="USR-100925"/>
    <d v="2025-02-24T00:00:00"/>
    <x v="1"/>
    <x v="2"/>
    <x v="1"/>
    <x v="3"/>
    <s v="Free"/>
    <n v="0"/>
    <n v="0"/>
    <n v="0"/>
    <n v="0"/>
    <x v="0"/>
    <n v="0"/>
    <n v="0"/>
    <m/>
    <n v="73.2"/>
  </r>
  <r>
    <s v="USR-100926"/>
    <d v="2025-01-15T00:00:00"/>
    <x v="1"/>
    <x v="2"/>
    <x v="1"/>
    <x v="3"/>
    <s v="Free"/>
    <n v="1"/>
    <n v="1"/>
    <n v="1"/>
    <n v="0"/>
    <x v="0"/>
    <n v="0"/>
    <n v="0"/>
    <m/>
    <n v="80"/>
  </r>
  <r>
    <s v="USR-100927"/>
    <d v="2025-01-07T00:00:00"/>
    <x v="1"/>
    <x v="0"/>
    <x v="0"/>
    <x v="2"/>
    <s v="Free"/>
    <n v="1"/>
    <n v="0"/>
    <n v="0"/>
    <n v="0"/>
    <x v="0"/>
    <n v="0"/>
    <n v="0"/>
    <m/>
    <n v="52.3"/>
  </r>
  <r>
    <s v="USR-100928"/>
    <d v="2025-03-02T00:00:00"/>
    <x v="1"/>
    <x v="0"/>
    <x v="0"/>
    <x v="1"/>
    <s v="Free"/>
    <n v="0"/>
    <n v="0"/>
    <n v="0"/>
    <n v="0"/>
    <x v="0"/>
    <n v="0"/>
    <n v="0"/>
    <m/>
    <n v="49.1"/>
  </r>
  <r>
    <s v="USR-100929"/>
    <d v="2025-01-05T00:00:00"/>
    <x v="1"/>
    <x v="3"/>
    <x v="0"/>
    <x v="3"/>
    <s v="Basic"/>
    <n v="0"/>
    <n v="0"/>
    <n v="0"/>
    <n v="0"/>
    <x v="0"/>
    <n v="0"/>
    <n v="0"/>
    <m/>
    <n v="45.3"/>
  </r>
  <r>
    <s v="USR-100930"/>
    <d v="2025-03-03T00:00:00"/>
    <x v="1"/>
    <x v="3"/>
    <x v="1"/>
    <x v="1"/>
    <s v="Free"/>
    <n v="1"/>
    <n v="1"/>
    <n v="0"/>
    <n v="0"/>
    <x v="0"/>
    <n v="0"/>
    <n v="0"/>
    <m/>
    <n v="49.1"/>
  </r>
  <r>
    <s v="USR-100931"/>
    <d v="2025-03-31T00:00:00"/>
    <x v="1"/>
    <x v="2"/>
    <x v="0"/>
    <x v="3"/>
    <s v="Free"/>
    <n v="1"/>
    <n v="1"/>
    <n v="1"/>
    <n v="1"/>
    <x v="42"/>
    <n v="0"/>
    <n v="0"/>
    <n v="3"/>
    <n v="88.6"/>
  </r>
  <r>
    <s v="USR-100932"/>
    <d v="2025-01-14T00:00:00"/>
    <x v="1"/>
    <x v="2"/>
    <x v="0"/>
    <x v="2"/>
    <s v="Premium"/>
    <n v="0"/>
    <n v="0"/>
    <n v="0"/>
    <n v="0"/>
    <x v="0"/>
    <n v="1"/>
    <n v="0"/>
    <m/>
    <n v="54.4"/>
  </r>
  <r>
    <s v="USR-100933"/>
    <d v="2025-01-15T00:00:00"/>
    <x v="1"/>
    <x v="1"/>
    <x v="0"/>
    <x v="2"/>
    <s v="Premium"/>
    <n v="1"/>
    <n v="0"/>
    <n v="0"/>
    <n v="0"/>
    <x v="0"/>
    <n v="0"/>
    <n v="0"/>
    <m/>
    <n v="72.900000000000006"/>
  </r>
  <r>
    <s v="USR-100934"/>
    <d v="2025-04-25T00:00:00"/>
    <x v="1"/>
    <x v="1"/>
    <x v="0"/>
    <x v="1"/>
    <s v="Free"/>
    <n v="1"/>
    <n v="0"/>
    <n v="0"/>
    <n v="0"/>
    <x v="0"/>
    <n v="0"/>
    <n v="0"/>
    <m/>
    <n v="53.2"/>
  </r>
  <r>
    <s v="USR-100935"/>
    <d v="2025-03-21T00:00:00"/>
    <x v="1"/>
    <x v="2"/>
    <x v="1"/>
    <x v="1"/>
    <s v="Basic"/>
    <n v="1"/>
    <n v="1"/>
    <n v="0"/>
    <n v="0"/>
    <x v="0"/>
    <n v="0"/>
    <n v="0"/>
    <m/>
    <n v="48.7"/>
  </r>
  <r>
    <s v="USR-100936"/>
    <d v="2025-04-26T00:00:00"/>
    <x v="1"/>
    <x v="3"/>
    <x v="1"/>
    <x v="2"/>
    <s v="Basic"/>
    <n v="1"/>
    <n v="1"/>
    <n v="1"/>
    <n v="0"/>
    <x v="0"/>
    <n v="0"/>
    <n v="0"/>
    <m/>
    <n v="59.9"/>
  </r>
  <r>
    <s v="USR-100937"/>
    <d v="2025-05-21T00:00:00"/>
    <x v="1"/>
    <x v="3"/>
    <x v="0"/>
    <x v="5"/>
    <s v="Basic"/>
    <n v="0"/>
    <n v="0"/>
    <n v="0"/>
    <n v="0"/>
    <x v="0"/>
    <n v="0"/>
    <n v="0"/>
    <m/>
    <n v="82"/>
  </r>
  <r>
    <s v="USR-100938"/>
    <d v="2025-04-18T00:00:00"/>
    <x v="1"/>
    <x v="2"/>
    <x v="1"/>
    <x v="2"/>
    <s v="Free"/>
    <n v="0"/>
    <n v="0"/>
    <n v="0"/>
    <n v="0"/>
    <x v="0"/>
    <n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x v="0"/>
    <n v="0"/>
    <n v="0"/>
    <m/>
    <n v="68.3"/>
  </r>
  <r>
    <s v="USR-100940"/>
    <d v="2025-05-28T00:00:00"/>
    <x v="1"/>
    <x v="1"/>
    <x v="1"/>
    <x v="1"/>
    <s v="Premium"/>
    <n v="0"/>
    <n v="0"/>
    <n v="0"/>
    <n v="0"/>
    <x v="0"/>
    <n v="0"/>
    <n v="0"/>
    <m/>
    <n v="100"/>
  </r>
  <r>
    <s v="USR-100941"/>
    <d v="2025-01-15T00:00:00"/>
    <x v="1"/>
    <x v="2"/>
    <x v="1"/>
    <x v="0"/>
    <s v="Free"/>
    <n v="1"/>
    <n v="1"/>
    <n v="1"/>
    <n v="0"/>
    <x v="0"/>
    <n v="2"/>
    <n v="0"/>
    <m/>
    <n v="76.5"/>
  </r>
  <r>
    <s v="USR-100942"/>
    <d v="2025-01-03T00:00:00"/>
    <x v="1"/>
    <x v="3"/>
    <x v="1"/>
    <x v="1"/>
    <s v="Basic"/>
    <n v="1"/>
    <n v="1"/>
    <n v="0"/>
    <n v="0"/>
    <x v="0"/>
    <n v="0"/>
    <n v="0"/>
    <m/>
    <n v="62"/>
  </r>
  <r>
    <s v="USR-100943"/>
    <d v="2025-02-04T00:00:00"/>
    <x v="1"/>
    <x v="3"/>
    <x v="1"/>
    <x v="2"/>
    <s v="Free"/>
    <n v="1"/>
    <n v="1"/>
    <n v="1"/>
    <n v="1"/>
    <x v="43"/>
    <n v="1"/>
    <n v="0"/>
    <n v="7"/>
    <n v="50.1"/>
  </r>
  <r>
    <s v="USR-100944"/>
    <d v="2025-02-22T00:00:00"/>
    <x v="1"/>
    <x v="3"/>
    <x v="1"/>
    <x v="3"/>
    <s v="Premium"/>
    <n v="1"/>
    <n v="0"/>
    <n v="0"/>
    <n v="0"/>
    <x v="0"/>
    <n v="0"/>
    <n v="0"/>
    <m/>
    <n v="62.1"/>
  </r>
  <r>
    <s v="USR-100945"/>
    <d v="2025-05-06T00:00:00"/>
    <x v="1"/>
    <x v="1"/>
    <x v="1"/>
    <x v="1"/>
    <s v="Basic"/>
    <n v="1"/>
    <n v="0"/>
    <n v="0"/>
    <n v="0"/>
    <x v="0"/>
    <n v="0"/>
    <n v="0"/>
    <m/>
    <n v="49.7"/>
  </r>
  <r>
    <s v="USR-100946"/>
    <d v="2025-01-31T00:00:00"/>
    <x v="1"/>
    <x v="3"/>
    <x v="1"/>
    <x v="1"/>
    <s v="Free"/>
    <n v="1"/>
    <n v="0"/>
    <n v="0"/>
    <n v="0"/>
    <x v="0"/>
    <n v="3"/>
    <n v="0"/>
    <m/>
    <n v="71.099999999999994"/>
  </r>
  <r>
    <s v="USR-100947"/>
    <d v="2025-02-18T00:00:00"/>
    <x v="1"/>
    <x v="0"/>
    <x v="1"/>
    <x v="4"/>
    <s v="Basic"/>
    <n v="0"/>
    <n v="0"/>
    <n v="0"/>
    <n v="0"/>
    <x v="0"/>
    <n v="0"/>
    <n v="0"/>
    <m/>
    <n v="70.8"/>
  </r>
  <r>
    <s v="USR-100948"/>
    <d v="2025-04-23T00:00:00"/>
    <x v="1"/>
    <x v="2"/>
    <x v="1"/>
    <x v="2"/>
    <s v="Free"/>
    <n v="1"/>
    <n v="1"/>
    <n v="1"/>
    <n v="1"/>
    <x v="44"/>
    <n v="0"/>
    <n v="0"/>
    <n v="10"/>
    <n v="52.2"/>
  </r>
  <r>
    <s v="USR-100949"/>
    <d v="2025-02-06T00:00:00"/>
    <x v="1"/>
    <x v="0"/>
    <x v="1"/>
    <x v="1"/>
    <s v="Free"/>
    <n v="1"/>
    <n v="1"/>
    <n v="1"/>
    <n v="0"/>
    <x v="0"/>
    <n v="0"/>
    <n v="0"/>
    <m/>
    <n v="73"/>
  </r>
  <r>
    <s v="USR-100950"/>
    <d v="2025-04-26T00:00:00"/>
    <x v="1"/>
    <x v="3"/>
    <x v="0"/>
    <x v="2"/>
    <s v="Free"/>
    <n v="0"/>
    <n v="0"/>
    <n v="0"/>
    <n v="0"/>
    <x v="0"/>
    <n v="0"/>
    <n v="0"/>
    <m/>
    <n v="78.2"/>
  </r>
  <r>
    <s v="USR-100951"/>
    <d v="2025-03-30T00:00:00"/>
    <x v="1"/>
    <x v="1"/>
    <x v="0"/>
    <x v="2"/>
    <s v="Basic"/>
    <n v="1"/>
    <n v="0"/>
    <n v="0"/>
    <n v="0"/>
    <x v="0"/>
    <n v="0"/>
    <n v="0"/>
    <m/>
    <n v="68.8"/>
  </r>
  <r>
    <s v="USR-100952"/>
    <d v="2025-04-13T00:00:00"/>
    <x v="1"/>
    <x v="1"/>
    <x v="1"/>
    <x v="5"/>
    <s v="Premium"/>
    <n v="1"/>
    <n v="0"/>
    <n v="0"/>
    <n v="0"/>
    <x v="0"/>
    <n v="0"/>
    <n v="0"/>
    <m/>
    <n v="57.1"/>
  </r>
  <r>
    <s v="USR-100953"/>
    <d v="2025-04-04T00:00:00"/>
    <x v="1"/>
    <x v="2"/>
    <x v="0"/>
    <x v="1"/>
    <s v="Premium"/>
    <n v="0"/>
    <n v="0"/>
    <n v="0"/>
    <n v="0"/>
    <x v="0"/>
    <n v="1"/>
    <n v="0"/>
    <m/>
    <n v="74.599999999999994"/>
  </r>
  <r>
    <s v="USR-100954"/>
    <d v="2025-04-03T00:00:00"/>
    <x v="1"/>
    <x v="0"/>
    <x v="0"/>
    <x v="3"/>
    <s v="Free"/>
    <n v="1"/>
    <n v="0"/>
    <n v="0"/>
    <n v="0"/>
    <x v="0"/>
    <n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x v="0"/>
    <n v="0"/>
    <n v="0"/>
    <m/>
    <n v="67.3"/>
  </r>
  <r>
    <s v="USR-100956"/>
    <d v="2025-01-14T00:00:00"/>
    <x v="1"/>
    <x v="1"/>
    <x v="1"/>
    <x v="3"/>
    <s v="Free"/>
    <n v="0"/>
    <n v="0"/>
    <n v="0"/>
    <n v="0"/>
    <x v="0"/>
    <n v="2"/>
    <n v="0"/>
    <m/>
    <n v="41"/>
  </r>
  <r>
    <s v="USR-100957"/>
    <d v="2025-05-05T00:00:00"/>
    <x v="1"/>
    <x v="1"/>
    <x v="1"/>
    <x v="2"/>
    <s v="Free"/>
    <n v="0"/>
    <n v="0"/>
    <n v="0"/>
    <n v="0"/>
    <x v="0"/>
    <n v="0"/>
    <n v="0"/>
    <m/>
    <n v="48.1"/>
  </r>
  <r>
    <s v="USR-100958"/>
    <d v="2025-05-02T00:00:00"/>
    <x v="1"/>
    <x v="1"/>
    <x v="0"/>
    <x v="4"/>
    <s v="Free"/>
    <n v="0"/>
    <n v="0"/>
    <n v="0"/>
    <n v="0"/>
    <x v="0"/>
    <n v="1"/>
    <n v="0"/>
    <m/>
    <n v="60.8"/>
  </r>
  <r>
    <s v="USR-100959"/>
    <d v="2025-05-21T00:00:00"/>
    <x v="1"/>
    <x v="2"/>
    <x v="1"/>
    <x v="1"/>
    <s v="Free"/>
    <n v="1"/>
    <n v="0"/>
    <n v="0"/>
    <n v="0"/>
    <x v="0"/>
    <n v="0"/>
    <n v="0"/>
    <m/>
    <n v="63.1"/>
  </r>
  <r>
    <s v="USR-100960"/>
    <d v="2025-05-16T00:00:00"/>
    <x v="1"/>
    <x v="0"/>
    <x v="1"/>
    <x v="3"/>
    <s v="Premium"/>
    <n v="1"/>
    <n v="0"/>
    <n v="0"/>
    <n v="0"/>
    <x v="0"/>
    <n v="2"/>
    <n v="0"/>
    <m/>
    <n v="49.7"/>
  </r>
  <r>
    <s v="USR-100961"/>
    <d v="2025-05-24T00:00:00"/>
    <x v="1"/>
    <x v="2"/>
    <x v="0"/>
    <x v="1"/>
    <s v="Premium"/>
    <n v="1"/>
    <n v="1"/>
    <n v="1"/>
    <n v="0"/>
    <x v="0"/>
    <n v="1"/>
    <n v="0"/>
    <m/>
    <n v="83.4"/>
  </r>
  <r>
    <s v="USR-100962"/>
    <d v="2025-03-18T00:00:00"/>
    <x v="1"/>
    <x v="2"/>
    <x v="1"/>
    <x v="1"/>
    <s v="Basic"/>
    <n v="1"/>
    <n v="0"/>
    <n v="0"/>
    <n v="0"/>
    <x v="0"/>
    <n v="0"/>
    <n v="0"/>
    <m/>
    <n v="75.900000000000006"/>
  </r>
  <r>
    <s v="USR-100963"/>
    <d v="2025-01-11T00:00:00"/>
    <x v="1"/>
    <x v="2"/>
    <x v="0"/>
    <x v="2"/>
    <s v="Free"/>
    <n v="0"/>
    <n v="0"/>
    <n v="0"/>
    <n v="0"/>
    <x v="0"/>
    <n v="1"/>
    <n v="0"/>
    <m/>
    <n v="71.8"/>
  </r>
  <r>
    <s v="USR-100964"/>
    <d v="2025-02-09T00:00:00"/>
    <x v="1"/>
    <x v="3"/>
    <x v="1"/>
    <x v="1"/>
    <s v="Basic"/>
    <n v="0"/>
    <n v="0"/>
    <n v="0"/>
    <n v="0"/>
    <x v="0"/>
    <n v="0"/>
    <n v="0"/>
    <m/>
    <n v="37.9"/>
  </r>
  <r>
    <s v="USR-100965"/>
    <d v="2025-03-01T00:00:00"/>
    <x v="1"/>
    <x v="0"/>
    <x v="0"/>
    <x v="4"/>
    <s v="Free"/>
    <n v="1"/>
    <n v="0"/>
    <n v="0"/>
    <n v="0"/>
    <x v="0"/>
    <n v="0"/>
    <n v="0"/>
    <m/>
    <n v="59.8"/>
  </r>
  <r>
    <s v="USR-100966"/>
    <d v="2025-05-07T00:00:00"/>
    <x v="1"/>
    <x v="0"/>
    <x v="1"/>
    <x v="1"/>
    <s v="Basic"/>
    <n v="0"/>
    <n v="0"/>
    <n v="0"/>
    <n v="0"/>
    <x v="0"/>
    <n v="0"/>
    <n v="0"/>
    <m/>
    <n v="66.900000000000006"/>
  </r>
  <r>
    <s v="USR-100967"/>
    <d v="2025-02-19T00:00:00"/>
    <x v="1"/>
    <x v="3"/>
    <x v="0"/>
    <x v="5"/>
    <s v="Free"/>
    <n v="1"/>
    <n v="0"/>
    <n v="0"/>
    <n v="0"/>
    <x v="0"/>
    <n v="0"/>
    <n v="0"/>
    <m/>
    <n v="59"/>
  </r>
  <r>
    <s v="USR-100968"/>
    <d v="2025-02-26T00:00:00"/>
    <x v="1"/>
    <x v="1"/>
    <x v="1"/>
    <x v="1"/>
    <s v="Premium"/>
    <n v="1"/>
    <n v="0"/>
    <n v="0"/>
    <n v="0"/>
    <x v="0"/>
    <n v="0"/>
    <n v="0"/>
    <m/>
    <n v="80.099999999999994"/>
  </r>
  <r>
    <s v="USR-100969"/>
    <d v="2025-03-23T00:00:00"/>
    <x v="1"/>
    <x v="3"/>
    <x v="1"/>
    <x v="4"/>
    <s v="Free"/>
    <n v="0"/>
    <n v="0"/>
    <n v="0"/>
    <n v="0"/>
    <x v="0"/>
    <n v="0"/>
    <n v="0"/>
    <m/>
    <n v="64.3"/>
  </r>
  <r>
    <s v="USR-100970"/>
    <d v="2025-04-25T00:00:00"/>
    <x v="1"/>
    <x v="3"/>
    <x v="0"/>
    <x v="4"/>
    <s v="Free"/>
    <n v="0"/>
    <n v="0"/>
    <n v="0"/>
    <n v="0"/>
    <x v="0"/>
    <n v="1"/>
    <n v="0"/>
    <m/>
    <n v="57.4"/>
  </r>
  <r>
    <s v="USR-100971"/>
    <d v="2025-05-10T00:00:00"/>
    <x v="1"/>
    <x v="0"/>
    <x v="0"/>
    <x v="4"/>
    <s v="Free"/>
    <n v="1"/>
    <n v="1"/>
    <n v="1"/>
    <n v="0"/>
    <x v="0"/>
    <n v="0"/>
    <n v="0"/>
    <m/>
    <n v="83.6"/>
  </r>
  <r>
    <s v="USR-100972"/>
    <d v="2025-04-22T00:00:00"/>
    <x v="1"/>
    <x v="2"/>
    <x v="1"/>
    <x v="2"/>
    <s v="Premium"/>
    <n v="0"/>
    <n v="0"/>
    <n v="0"/>
    <n v="0"/>
    <x v="0"/>
    <n v="0"/>
    <n v="0"/>
    <m/>
    <n v="45.8"/>
  </r>
  <r>
    <s v="USR-100973"/>
    <d v="2025-02-18T00:00:00"/>
    <x v="1"/>
    <x v="1"/>
    <x v="1"/>
    <x v="3"/>
    <s v="Basic"/>
    <n v="1"/>
    <n v="1"/>
    <n v="1"/>
    <n v="0"/>
    <x v="0"/>
    <n v="0"/>
    <n v="0"/>
    <m/>
    <n v="64.3"/>
  </r>
  <r>
    <s v="USR-100974"/>
    <d v="2025-01-26T00:00:00"/>
    <x v="1"/>
    <x v="3"/>
    <x v="1"/>
    <x v="2"/>
    <s v="Premium"/>
    <n v="1"/>
    <n v="1"/>
    <n v="1"/>
    <n v="0"/>
    <x v="0"/>
    <n v="0"/>
    <n v="0"/>
    <m/>
    <n v="80.5"/>
  </r>
  <r>
    <s v="USR-100975"/>
    <d v="2025-04-28T00:00:00"/>
    <x v="1"/>
    <x v="0"/>
    <x v="1"/>
    <x v="1"/>
    <s v="Free"/>
    <n v="1"/>
    <n v="0"/>
    <n v="0"/>
    <n v="0"/>
    <x v="0"/>
    <n v="0"/>
    <n v="0"/>
    <m/>
    <n v="46.3"/>
  </r>
  <r>
    <s v="USR-100976"/>
    <d v="2025-04-02T00:00:00"/>
    <x v="1"/>
    <x v="3"/>
    <x v="0"/>
    <x v="0"/>
    <s v="Basic"/>
    <n v="1"/>
    <n v="0"/>
    <n v="0"/>
    <n v="0"/>
    <x v="0"/>
    <n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x v="0"/>
    <n v="0"/>
    <n v="0"/>
    <m/>
    <n v="57.8"/>
  </r>
  <r>
    <s v="USR-100978"/>
    <d v="2025-01-03T00:00:00"/>
    <x v="1"/>
    <x v="1"/>
    <x v="0"/>
    <x v="0"/>
    <s v="Basic"/>
    <n v="1"/>
    <n v="1"/>
    <n v="1"/>
    <n v="0"/>
    <x v="0"/>
    <n v="1"/>
    <n v="0"/>
    <m/>
    <n v="57.8"/>
  </r>
  <r>
    <s v="USR-100979"/>
    <d v="2025-05-08T00:00:00"/>
    <x v="1"/>
    <x v="0"/>
    <x v="1"/>
    <x v="2"/>
    <s v="Free"/>
    <n v="1"/>
    <n v="0"/>
    <n v="0"/>
    <n v="0"/>
    <x v="0"/>
    <n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x v="0"/>
    <n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x v="0"/>
    <n v="0"/>
    <n v="0"/>
    <m/>
    <n v="66.5"/>
  </r>
  <r>
    <s v="USR-100982"/>
    <d v="2025-04-10T00:00:00"/>
    <x v="1"/>
    <x v="3"/>
    <x v="0"/>
    <x v="0"/>
    <s v="Free"/>
    <n v="1"/>
    <n v="0"/>
    <n v="0"/>
    <n v="0"/>
    <x v="0"/>
    <n v="3"/>
    <n v="0"/>
    <m/>
    <n v="51.5"/>
  </r>
  <r>
    <s v="USR-100983"/>
    <d v="2025-05-08T00:00:00"/>
    <x v="1"/>
    <x v="0"/>
    <x v="0"/>
    <x v="3"/>
    <s v="Free"/>
    <n v="1"/>
    <n v="0"/>
    <n v="0"/>
    <n v="0"/>
    <x v="0"/>
    <n v="0"/>
    <n v="0"/>
    <m/>
    <n v="59.9"/>
  </r>
  <r>
    <s v="USR-100984"/>
    <d v="2025-04-19T00:00:00"/>
    <x v="1"/>
    <x v="1"/>
    <x v="1"/>
    <x v="2"/>
    <s v="Basic"/>
    <n v="1"/>
    <n v="0"/>
    <n v="0"/>
    <n v="0"/>
    <x v="0"/>
    <n v="0"/>
    <n v="0"/>
    <m/>
    <n v="58.8"/>
  </r>
  <r>
    <s v="USR-100985"/>
    <d v="2025-01-01T00:00:00"/>
    <x v="1"/>
    <x v="3"/>
    <x v="2"/>
    <x v="2"/>
    <s v="Basic"/>
    <n v="1"/>
    <n v="0"/>
    <n v="0"/>
    <n v="0"/>
    <x v="0"/>
    <n v="0"/>
    <n v="0"/>
    <m/>
    <n v="69.599999999999994"/>
  </r>
  <r>
    <s v="USR-100986"/>
    <d v="2025-03-10T00:00:00"/>
    <x v="1"/>
    <x v="2"/>
    <x v="1"/>
    <x v="2"/>
    <s v="Free"/>
    <n v="1"/>
    <n v="0"/>
    <n v="0"/>
    <n v="0"/>
    <x v="0"/>
    <n v="0"/>
    <n v="0"/>
    <m/>
    <n v="77.5"/>
  </r>
  <r>
    <s v="USR-100987"/>
    <d v="2025-03-10T00:00:00"/>
    <x v="1"/>
    <x v="2"/>
    <x v="2"/>
    <x v="4"/>
    <s v="Premium"/>
    <n v="0"/>
    <n v="0"/>
    <n v="0"/>
    <n v="0"/>
    <x v="0"/>
    <n v="2"/>
    <n v="0"/>
    <m/>
    <n v="57.5"/>
  </r>
  <r>
    <s v="USR-100988"/>
    <d v="2025-04-19T00:00:00"/>
    <x v="1"/>
    <x v="1"/>
    <x v="2"/>
    <x v="0"/>
    <s v="Basic"/>
    <n v="1"/>
    <n v="0"/>
    <n v="0"/>
    <n v="0"/>
    <x v="0"/>
    <n v="0"/>
    <n v="0"/>
    <m/>
    <n v="64.2"/>
  </r>
  <r>
    <s v="USR-100989"/>
    <d v="2025-04-11T00:00:00"/>
    <x v="1"/>
    <x v="1"/>
    <x v="0"/>
    <x v="1"/>
    <s v="Free"/>
    <n v="0"/>
    <n v="0"/>
    <n v="0"/>
    <n v="0"/>
    <x v="0"/>
    <n v="0"/>
    <n v="0"/>
    <m/>
    <n v="60"/>
  </r>
  <r>
    <s v="USR-100990"/>
    <d v="2025-04-10T00:00:00"/>
    <x v="1"/>
    <x v="2"/>
    <x v="1"/>
    <x v="1"/>
    <s v="Basic"/>
    <n v="1"/>
    <n v="0"/>
    <n v="0"/>
    <n v="0"/>
    <x v="0"/>
    <n v="1"/>
    <n v="0"/>
    <m/>
    <n v="43.7"/>
  </r>
  <r>
    <s v="USR-100991"/>
    <d v="2025-01-13T00:00:00"/>
    <x v="1"/>
    <x v="1"/>
    <x v="0"/>
    <x v="4"/>
    <s v="Free"/>
    <n v="1"/>
    <n v="0"/>
    <n v="0"/>
    <n v="0"/>
    <x v="0"/>
    <n v="0"/>
    <n v="0"/>
    <m/>
    <n v="64.900000000000006"/>
  </r>
  <r>
    <s v="USR-100992"/>
    <d v="2025-03-28T00:00:00"/>
    <x v="1"/>
    <x v="3"/>
    <x v="0"/>
    <x v="1"/>
    <s v="Free"/>
    <n v="1"/>
    <n v="1"/>
    <n v="0"/>
    <n v="0"/>
    <x v="0"/>
    <n v="0"/>
    <n v="0"/>
    <m/>
    <n v="45.5"/>
  </r>
  <r>
    <s v="USR-100993"/>
    <d v="2025-01-29T00:00:00"/>
    <x v="1"/>
    <x v="2"/>
    <x v="1"/>
    <x v="2"/>
    <s v="Free"/>
    <n v="1"/>
    <n v="1"/>
    <n v="1"/>
    <n v="1"/>
    <x v="45"/>
    <n v="0"/>
    <n v="0"/>
    <n v="8"/>
    <n v="61.2"/>
  </r>
  <r>
    <s v="USR-100994"/>
    <d v="2025-03-27T00:00:00"/>
    <x v="1"/>
    <x v="3"/>
    <x v="1"/>
    <x v="3"/>
    <s v="Free"/>
    <n v="0"/>
    <n v="0"/>
    <n v="0"/>
    <n v="0"/>
    <x v="0"/>
    <n v="0"/>
    <n v="0"/>
    <m/>
    <n v="87.8"/>
  </r>
  <r>
    <s v="USR-100995"/>
    <d v="2025-03-20T00:00:00"/>
    <x v="1"/>
    <x v="2"/>
    <x v="2"/>
    <x v="4"/>
    <s v="Free"/>
    <n v="0"/>
    <n v="0"/>
    <n v="0"/>
    <n v="0"/>
    <x v="0"/>
    <n v="0"/>
    <n v="0"/>
    <m/>
    <n v="86.4"/>
  </r>
  <r>
    <s v="USR-100996"/>
    <d v="2025-01-09T00:00:00"/>
    <x v="1"/>
    <x v="0"/>
    <x v="1"/>
    <x v="2"/>
    <s v="Basic"/>
    <n v="0"/>
    <n v="0"/>
    <n v="0"/>
    <n v="0"/>
    <x v="0"/>
    <n v="1"/>
    <n v="0"/>
    <m/>
    <n v="71.400000000000006"/>
  </r>
  <r>
    <s v="USR-100997"/>
    <d v="2025-04-25T00:00:00"/>
    <x v="1"/>
    <x v="1"/>
    <x v="1"/>
    <x v="4"/>
    <s v="Free"/>
    <n v="1"/>
    <n v="1"/>
    <n v="1"/>
    <n v="1"/>
    <x v="46"/>
    <n v="0"/>
    <n v="1"/>
    <n v="8"/>
    <n v="72.2"/>
  </r>
  <r>
    <s v="USR-100998"/>
    <d v="2025-04-11T00:00:00"/>
    <x v="1"/>
    <x v="3"/>
    <x v="0"/>
    <x v="4"/>
    <s v="Free"/>
    <n v="1"/>
    <n v="0"/>
    <n v="0"/>
    <n v="0"/>
    <x v="0"/>
    <n v="0"/>
    <n v="0"/>
    <m/>
    <n v="51.9"/>
  </r>
  <r>
    <s v="USR-100999"/>
    <d v="2025-02-05T00:00:00"/>
    <x v="1"/>
    <x v="2"/>
    <x v="1"/>
    <x v="4"/>
    <s v="Basic"/>
    <n v="1"/>
    <n v="1"/>
    <n v="1"/>
    <n v="0"/>
    <x v="0"/>
    <n v="0"/>
    <n v="0"/>
    <m/>
    <n v="70.3"/>
  </r>
  <r>
    <s v="USR-101000"/>
    <d v="2025-03-28T00:00:00"/>
    <x v="1"/>
    <x v="3"/>
    <x v="1"/>
    <x v="4"/>
    <s v="Premium"/>
    <n v="1"/>
    <n v="0"/>
    <n v="0"/>
    <n v="0"/>
    <x v="0"/>
    <n v="1"/>
    <n v="0"/>
    <m/>
    <n v="49.2"/>
  </r>
  <r>
    <s v="USR-101001"/>
    <d v="2025-05-14T00:00:00"/>
    <x v="1"/>
    <x v="3"/>
    <x v="1"/>
    <x v="3"/>
    <s v="Free"/>
    <n v="0"/>
    <n v="0"/>
    <n v="0"/>
    <n v="0"/>
    <x v="0"/>
    <n v="0"/>
    <n v="0"/>
    <m/>
    <n v="52.2"/>
  </r>
  <r>
    <s v="USR-101002"/>
    <d v="2025-03-10T00:00:00"/>
    <x v="1"/>
    <x v="2"/>
    <x v="1"/>
    <x v="2"/>
    <s v="Basic"/>
    <n v="0"/>
    <n v="0"/>
    <n v="0"/>
    <n v="0"/>
    <x v="0"/>
    <n v="1"/>
    <n v="0"/>
    <m/>
    <n v="62.6"/>
  </r>
  <r>
    <s v="USR-101003"/>
    <d v="2025-04-09T00:00:00"/>
    <x v="1"/>
    <x v="2"/>
    <x v="0"/>
    <x v="2"/>
    <s v="Free"/>
    <n v="1"/>
    <n v="1"/>
    <n v="0"/>
    <n v="0"/>
    <x v="0"/>
    <n v="0"/>
    <n v="0"/>
    <m/>
    <n v="100"/>
  </r>
  <r>
    <s v="USR-101004"/>
    <d v="2025-02-13T00:00:00"/>
    <x v="1"/>
    <x v="0"/>
    <x v="1"/>
    <x v="3"/>
    <s v="Basic"/>
    <n v="1"/>
    <n v="1"/>
    <n v="1"/>
    <n v="0"/>
    <x v="0"/>
    <n v="2"/>
    <n v="0"/>
    <m/>
    <n v="45.9"/>
  </r>
  <r>
    <s v="USR-101005"/>
    <d v="2025-05-03T00:00:00"/>
    <x v="1"/>
    <x v="2"/>
    <x v="1"/>
    <x v="0"/>
    <s v="Free"/>
    <n v="1"/>
    <n v="1"/>
    <n v="1"/>
    <n v="0"/>
    <x v="0"/>
    <n v="0"/>
    <n v="0"/>
    <m/>
    <n v="80.7"/>
  </r>
  <r>
    <s v="USR-101006"/>
    <d v="2025-04-16T00:00:00"/>
    <x v="1"/>
    <x v="3"/>
    <x v="0"/>
    <x v="3"/>
    <s v="Premium"/>
    <n v="1"/>
    <n v="0"/>
    <n v="0"/>
    <n v="0"/>
    <x v="0"/>
    <n v="0"/>
    <n v="0"/>
    <m/>
    <n v="51.9"/>
  </r>
  <r>
    <s v="USR-101007"/>
    <d v="2025-04-30T00:00:00"/>
    <x v="1"/>
    <x v="0"/>
    <x v="1"/>
    <x v="2"/>
    <s v="Premium"/>
    <n v="1"/>
    <n v="0"/>
    <n v="0"/>
    <n v="0"/>
    <x v="0"/>
    <n v="0"/>
    <n v="0"/>
    <m/>
    <n v="68.900000000000006"/>
  </r>
  <r>
    <s v="USR-101008"/>
    <d v="2025-02-18T00:00:00"/>
    <x v="1"/>
    <x v="1"/>
    <x v="0"/>
    <x v="1"/>
    <s v="Free"/>
    <n v="1"/>
    <n v="0"/>
    <n v="0"/>
    <n v="0"/>
    <x v="0"/>
    <n v="0"/>
    <n v="0"/>
    <m/>
    <n v="66"/>
  </r>
  <r>
    <s v="USR-101009"/>
    <d v="2025-05-22T00:00:00"/>
    <x v="1"/>
    <x v="1"/>
    <x v="0"/>
    <x v="3"/>
    <s v="Basic"/>
    <n v="0"/>
    <n v="0"/>
    <n v="0"/>
    <n v="0"/>
    <x v="0"/>
    <n v="0"/>
    <n v="0"/>
    <m/>
    <n v="63.1"/>
  </r>
  <r>
    <s v="USR-101010"/>
    <d v="2025-05-21T00:00:00"/>
    <x v="1"/>
    <x v="3"/>
    <x v="0"/>
    <x v="1"/>
    <s v="Free"/>
    <n v="0"/>
    <n v="0"/>
    <n v="0"/>
    <n v="0"/>
    <x v="0"/>
    <n v="0"/>
    <n v="0"/>
    <m/>
    <n v="56"/>
  </r>
  <r>
    <s v="USR-101011"/>
    <d v="2025-04-10T00:00:00"/>
    <x v="1"/>
    <x v="2"/>
    <x v="0"/>
    <x v="1"/>
    <s v="Free"/>
    <n v="1"/>
    <n v="0"/>
    <n v="0"/>
    <n v="0"/>
    <x v="0"/>
    <n v="1"/>
    <n v="0"/>
    <m/>
    <n v="65.7"/>
  </r>
  <r>
    <s v="USR-101012"/>
    <d v="2025-01-07T00:00:00"/>
    <x v="1"/>
    <x v="0"/>
    <x v="0"/>
    <x v="1"/>
    <s v="Premium"/>
    <n v="1"/>
    <n v="1"/>
    <n v="1"/>
    <n v="1"/>
    <x v="47"/>
    <n v="1"/>
    <n v="0"/>
    <n v="9"/>
    <n v="60.9"/>
  </r>
  <r>
    <s v="USR-101013"/>
    <d v="2025-02-03T00:00:00"/>
    <x v="1"/>
    <x v="3"/>
    <x v="0"/>
    <x v="4"/>
    <s v="Free"/>
    <n v="0"/>
    <n v="0"/>
    <n v="0"/>
    <n v="0"/>
    <x v="0"/>
    <n v="0"/>
    <n v="0"/>
    <m/>
    <n v="45.5"/>
  </r>
  <r>
    <s v="USR-101014"/>
    <d v="2025-05-18T00:00:00"/>
    <x v="1"/>
    <x v="0"/>
    <x v="1"/>
    <x v="2"/>
    <s v="Free"/>
    <n v="1"/>
    <n v="0"/>
    <n v="0"/>
    <n v="0"/>
    <x v="0"/>
    <n v="0"/>
    <n v="0"/>
    <m/>
    <n v="50"/>
  </r>
  <r>
    <s v="USR-101015"/>
    <d v="2025-01-31T00:00:00"/>
    <x v="1"/>
    <x v="0"/>
    <x v="1"/>
    <x v="3"/>
    <s v="Free"/>
    <n v="1"/>
    <n v="0"/>
    <n v="0"/>
    <n v="0"/>
    <x v="0"/>
    <n v="0"/>
    <n v="0"/>
    <m/>
    <n v="72.099999999999994"/>
  </r>
  <r>
    <s v="USR-101016"/>
    <d v="2025-01-16T00:00:00"/>
    <x v="1"/>
    <x v="3"/>
    <x v="0"/>
    <x v="1"/>
    <s v="Basic"/>
    <n v="1"/>
    <n v="0"/>
    <n v="0"/>
    <n v="0"/>
    <x v="0"/>
    <n v="0"/>
    <n v="0"/>
    <m/>
    <n v="76.3"/>
  </r>
  <r>
    <s v="USR-101017"/>
    <d v="2025-05-14T00:00:00"/>
    <x v="1"/>
    <x v="2"/>
    <x v="1"/>
    <x v="2"/>
    <s v="Basic"/>
    <n v="1"/>
    <n v="1"/>
    <n v="0"/>
    <n v="0"/>
    <x v="0"/>
    <n v="1"/>
    <n v="0"/>
    <m/>
    <n v="54.8"/>
  </r>
  <r>
    <s v="USR-101018"/>
    <d v="2025-04-01T00:00:00"/>
    <x v="1"/>
    <x v="3"/>
    <x v="1"/>
    <x v="5"/>
    <s v="Basic"/>
    <n v="1"/>
    <n v="0"/>
    <n v="0"/>
    <n v="0"/>
    <x v="0"/>
    <n v="0"/>
    <n v="0"/>
    <m/>
    <n v="63.6"/>
  </r>
  <r>
    <s v="USR-101019"/>
    <d v="2025-04-23T00:00:00"/>
    <x v="1"/>
    <x v="3"/>
    <x v="1"/>
    <x v="1"/>
    <s v="Free"/>
    <n v="1"/>
    <n v="0"/>
    <n v="0"/>
    <n v="0"/>
    <x v="0"/>
    <n v="0"/>
    <n v="0"/>
    <m/>
    <n v="68.8"/>
  </r>
  <r>
    <s v="USR-101020"/>
    <d v="2025-03-02T00:00:00"/>
    <x v="1"/>
    <x v="3"/>
    <x v="0"/>
    <x v="2"/>
    <s v="Basic"/>
    <n v="1"/>
    <n v="0"/>
    <n v="0"/>
    <n v="0"/>
    <x v="0"/>
    <n v="0"/>
    <n v="0"/>
    <m/>
    <n v="63.2"/>
  </r>
  <r>
    <s v="USR-101021"/>
    <d v="2025-01-02T00:00:00"/>
    <x v="1"/>
    <x v="2"/>
    <x v="1"/>
    <x v="2"/>
    <s v="Basic"/>
    <n v="0"/>
    <n v="0"/>
    <n v="0"/>
    <n v="0"/>
    <x v="0"/>
    <n v="0"/>
    <n v="0"/>
    <m/>
    <n v="45"/>
  </r>
  <r>
    <s v="USR-101022"/>
    <d v="2025-05-04T00:00:00"/>
    <x v="1"/>
    <x v="3"/>
    <x v="1"/>
    <x v="1"/>
    <s v="Free"/>
    <n v="1"/>
    <n v="0"/>
    <n v="0"/>
    <n v="0"/>
    <x v="0"/>
    <n v="0"/>
    <n v="0"/>
    <m/>
    <n v="77.400000000000006"/>
  </r>
  <r>
    <s v="USR-101023"/>
    <d v="2025-01-16T00:00:00"/>
    <x v="1"/>
    <x v="2"/>
    <x v="0"/>
    <x v="2"/>
    <s v="Basic"/>
    <n v="0"/>
    <n v="0"/>
    <n v="0"/>
    <n v="0"/>
    <x v="0"/>
    <n v="0"/>
    <n v="0"/>
    <m/>
    <n v="53.1"/>
  </r>
  <r>
    <s v="USR-101024"/>
    <d v="2025-02-11T00:00:00"/>
    <x v="1"/>
    <x v="1"/>
    <x v="2"/>
    <x v="2"/>
    <s v="Premium"/>
    <n v="0"/>
    <n v="0"/>
    <n v="0"/>
    <n v="0"/>
    <x v="0"/>
    <n v="0"/>
    <n v="0"/>
    <m/>
    <n v="74"/>
  </r>
  <r>
    <s v="USR-101025"/>
    <d v="2025-04-03T00:00:00"/>
    <x v="1"/>
    <x v="0"/>
    <x v="1"/>
    <x v="4"/>
    <s v="Premium"/>
    <n v="1"/>
    <n v="1"/>
    <n v="1"/>
    <n v="1"/>
    <x v="48"/>
    <n v="0"/>
    <n v="0"/>
    <n v="4"/>
    <n v="84.6"/>
  </r>
  <r>
    <s v="USR-101026"/>
    <d v="2025-03-26T00:00:00"/>
    <x v="1"/>
    <x v="2"/>
    <x v="1"/>
    <x v="3"/>
    <s v="Free"/>
    <n v="1"/>
    <n v="0"/>
    <n v="0"/>
    <n v="0"/>
    <x v="0"/>
    <n v="0"/>
    <n v="0"/>
    <m/>
    <n v="57"/>
  </r>
  <r>
    <s v="USR-101027"/>
    <d v="2025-05-16T00:00:00"/>
    <x v="1"/>
    <x v="3"/>
    <x v="1"/>
    <x v="0"/>
    <s v="Premium"/>
    <n v="0"/>
    <n v="0"/>
    <n v="0"/>
    <n v="0"/>
    <x v="0"/>
    <n v="0"/>
    <n v="0"/>
    <m/>
    <n v="46.3"/>
  </r>
  <r>
    <s v="USR-101028"/>
    <d v="2025-04-20T00:00:00"/>
    <x v="1"/>
    <x v="1"/>
    <x v="1"/>
    <x v="4"/>
    <s v="Free"/>
    <n v="0"/>
    <n v="0"/>
    <n v="0"/>
    <n v="0"/>
    <x v="0"/>
    <n v="1"/>
    <n v="0"/>
    <m/>
    <n v="64.400000000000006"/>
  </r>
  <r>
    <s v="USR-101029"/>
    <d v="2025-04-15T00:00:00"/>
    <x v="1"/>
    <x v="1"/>
    <x v="1"/>
    <x v="2"/>
    <s v="Free"/>
    <n v="1"/>
    <n v="0"/>
    <n v="0"/>
    <n v="0"/>
    <x v="0"/>
    <n v="2"/>
    <n v="0"/>
    <m/>
    <n v="61.9"/>
  </r>
  <r>
    <s v="USR-101030"/>
    <d v="2025-01-24T00:00:00"/>
    <x v="1"/>
    <x v="0"/>
    <x v="1"/>
    <x v="1"/>
    <s v="Premium"/>
    <n v="1"/>
    <n v="1"/>
    <n v="1"/>
    <n v="0"/>
    <x v="0"/>
    <n v="0"/>
    <n v="0"/>
    <m/>
    <n v="93.7"/>
  </r>
  <r>
    <s v="USR-101031"/>
    <d v="2025-04-11T00:00:00"/>
    <x v="1"/>
    <x v="3"/>
    <x v="1"/>
    <x v="3"/>
    <s v="Basic"/>
    <n v="0"/>
    <n v="0"/>
    <n v="0"/>
    <n v="0"/>
    <x v="0"/>
    <n v="0"/>
    <n v="0"/>
    <m/>
    <n v="61.6"/>
  </r>
  <r>
    <s v="USR-101032"/>
    <d v="2025-05-19T00:00:00"/>
    <x v="1"/>
    <x v="0"/>
    <x v="1"/>
    <x v="2"/>
    <s v="Free"/>
    <n v="1"/>
    <n v="0"/>
    <n v="0"/>
    <n v="0"/>
    <x v="0"/>
    <n v="0"/>
    <n v="0"/>
    <m/>
    <n v="72.2"/>
  </r>
  <r>
    <s v="USR-101033"/>
    <d v="2025-01-14T00:00:00"/>
    <x v="1"/>
    <x v="0"/>
    <x v="1"/>
    <x v="1"/>
    <s v="Basic"/>
    <n v="0"/>
    <n v="0"/>
    <n v="0"/>
    <n v="0"/>
    <x v="0"/>
    <n v="0"/>
    <n v="0"/>
    <m/>
    <n v="69.5"/>
  </r>
  <r>
    <s v="USR-101034"/>
    <d v="2025-02-28T00:00:00"/>
    <x v="1"/>
    <x v="2"/>
    <x v="0"/>
    <x v="1"/>
    <s v="Basic"/>
    <n v="0"/>
    <n v="0"/>
    <n v="0"/>
    <n v="0"/>
    <x v="0"/>
    <n v="0"/>
    <n v="0"/>
    <m/>
    <n v="59.7"/>
  </r>
  <r>
    <s v="USR-101035"/>
    <d v="2025-05-18T00:00:00"/>
    <x v="1"/>
    <x v="2"/>
    <x v="2"/>
    <x v="2"/>
    <s v="Basic"/>
    <n v="1"/>
    <n v="0"/>
    <n v="0"/>
    <n v="0"/>
    <x v="0"/>
    <n v="0"/>
    <n v="0"/>
    <m/>
    <n v="73.900000000000006"/>
  </r>
  <r>
    <s v="USR-101036"/>
    <d v="2025-01-04T00:00:00"/>
    <x v="1"/>
    <x v="0"/>
    <x v="1"/>
    <x v="4"/>
    <s v="Free"/>
    <n v="0"/>
    <n v="0"/>
    <n v="0"/>
    <n v="0"/>
    <x v="0"/>
    <n v="0"/>
    <n v="0"/>
    <m/>
    <n v="41.5"/>
  </r>
  <r>
    <s v="USR-101037"/>
    <d v="2025-01-16T00:00:00"/>
    <x v="1"/>
    <x v="1"/>
    <x v="1"/>
    <x v="4"/>
    <s v="Premium"/>
    <n v="1"/>
    <n v="0"/>
    <n v="0"/>
    <n v="0"/>
    <x v="0"/>
    <n v="0"/>
    <n v="0"/>
    <m/>
    <n v="82.8"/>
  </r>
  <r>
    <s v="USR-101038"/>
    <d v="2025-03-14T00:00:00"/>
    <x v="1"/>
    <x v="1"/>
    <x v="1"/>
    <x v="4"/>
    <s v="Premium"/>
    <n v="1"/>
    <n v="0"/>
    <n v="0"/>
    <n v="0"/>
    <x v="0"/>
    <n v="3"/>
    <n v="0"/>
    <m/>
    <n v="70.2"/>
  </r>
  <r>
    <s v="USR-101039"/>
    <d v="2025-01-23T00:00:00"/>
    <x v="1"/>
    <x v="2"/>
    <x v="1"/>
    <x v="2"/>
    <s v="Basic"/>
    <n v="1"/>
    <n v="0"/>
    <n v="0"/>
    <n v="0"/>
    <x v="0"/>
    <n v="1"/>
    <n v="0"/>
    <m/>
    <n v="69.400000000000006"/>
  </r>
  <r>
    <s v="USR-101040"/>
    <d v="2025-02-03T00:00:00"/>
    <x v="1"/>
    <x v="0"/>
    <x v="0"/>
    <x v="1"/>
    <s v="Basic"/>
    <n v="1"/>
    <n v="0"/>
    <n v="0"/>
    <n v="0"/>
    <x v="0"/>
    <n v="0"/>
    <n v="0"/>
    <m/>
    <n v="60.4"/>
  </r>
  <r>
    <s v="USR-101041"/>
    <d v="2025-05-16T00:00:00"/>
    <x v="1"/>
    <x v="2"/>
    <x v="1"/>
    <x v="3"/>
    <s v="Free"/>
    <n v="1"/>
    <n v="0"/>
    <n v="0"/>
    <n v="0"/>
    <x v="0"/>
    <n v="0"/>
    <n v="0"/>
    <m/>
    <n v="45.7"/>
  </r>
  <r>
    <s v="USR-101042"/>
    <d v="2025-01-11T00:00:00"/>
    <x v="1"/>
    <x v="1"/>
    <x v="1"/>
    <x v="1"/>
    <s v="Basic"/>
    <n v="0"/>
    <n v="0"/>
    <n v="0"/>
    <n v="0"/>
    <x v="0"/>
    <n v="1"/>
    <n v="0"/>
    <m/>
    <n v="42.2"/>
  </r>
  <r>
    <s v="USR-101043"/>
    <d v="2025-05-25T00:00:00"/>
    <x v="1"/>
    <x v="0"/>
    <x v="0"/>
    <x v="1"/>
    <s v="Free"/>
    <n v="0"/>
    <n v="0"/>
    <n v="0"/>
    <n v="0"/>
    <x v="0"/>
    <n v="2"/>
    <n v="0"/>
    <m/>
    <n v="61.9"/>
  </r>
  <r>
    <s v="USR-101044"/>
    <d v="2025-05-08T00:00:00"/>
    <x v="1"/>
    <x v="2"/>
    <x v="1"/>
    <x v="2"/>
    <s v="Premium"/>
    <n v="0"/>
    <n v="0"/>
    <n v="0"/>
    <n v="0"/>
    <x v="0"/>
    <n v="0"/>
    <n v="0"/>
    <m/>
    <n v="44.9"/>
  </r>
  <r>
    <s v="USR-101045"/>
    <d v="2025-02-26T00:00:00"/>
    <x v="1"/>
    <x v="2"/>
    <x v="0"/>
    <x v="5"/>
    <s v="Basic"/>
    <n v="1"/>
    <n v="0"/>
    <n v="0"/>
    <n v="0"/>
    <x v="0"/>
    <n v="0"/>
    <n v="0"/>
    <m/>
    <n v="68"/>
  </r>
  <r>
    <s v="USR-101046"/>
    <d v="2025-03-30T00:00:00"/>
    <x v="1"/>
    <x v="0"/>
    <x v="1"/>
    <x v="2"/>
    <s v="Free"/>
    <n v="1"/>
    <n v="0"/>
    <n v="0"/>
    <n v="0"/>
    <x v="0"/>
    <n v="0"/>
    <n v="0"/>
    <m/>
    <n v="61"/>
  </r>
  <r>
    <s v="USR-101047"/>
    <d v="2025-04-13T00:00:00"/>
    <x v="1"/>
    <x v="1"/>
    <x v="1"/>
    <x v="1"/>
    <s v="Basic"/>
    <n v="1"/>
    <n v="0"/>
    <n v="0"/>
    <n v="0"/>
    <x v="0"/>
    <n v="0"/>
    <n v="0"/>
    <m/>
    <n v="55"/>
  </r>
  <r>
    <s v="USR-101048"/>
    <d v="2025-02-20T00:00:00"/>
    <x v="1"/>
    <x v="2"/>
    <x v="3"/>
    <x v="2"/>
    <s v="Basic"/>
    <n v="1"/>
    <n v="0"/>
    <n v="0"/>
    <n v="0"/>
    <x v="0"/>
    <n v="0"/>
    <n v="0"/>
    <m/>
    <n v="63.1"/>
  </r>
  <r>
    <s v="USR-101049"/>
    <d v="2025-04-19T00:00:00"/>
    <x v="1"/>
    <x v="1"/>
    <x v="0"/>
    <x v="4"/>
    <s v="Free"/>
    <n v="1"/>
    <n v="0"/>
    <n v="0"/>
    <n v="0"/>
    <x v="0"/>
    <n v="0"/>
    <n v="0"/>
    <m/>
    <n v="75.8"/>
  </r>
  <r>
    <s v="USR-101050"/>
    <d v="2025-03-22T00:00:00"/>
    <x v="1"/>
    <x v="3"/>
    <x v="1"/>
    <x v="2"/>
    <s v="Free"/>
    <n v="1"/>
    <n v="1"/>
    <n v="0"/>
    <n v="0"/>
    <x v="0"/>
    <n v="1"/>
    <n v="0"/>
    <m/>
    <n v="43.8"/>
  </r>
  <r>
    <s v="USR-101051"/>
    <d v="2025-02-28T00:00:00"/>
    <x v="1"/>
    <x v="0"/>
    <x v="1"/>
    <x v="0"/>
    <s v="Basic"/>
    <n v="1"/>
    <n v="1"/>
    <n v="0"/>
    <n v="0"/>
    <x v="0"/>
    <n v="0"/>
    <n v="0"/>
    <m/>
    <n v="46.8"/>
  </r>
  <r>
    <s v="USR-101052"/>
    <d v="2025-05-24T00:00:00"/>
    <x v="1"/>
    <x v="2"/>
    <x v="1"/>
    <x v="4"/>
    <s v="Free"/>
    <n v="1"/>
    <n v="1"/>
    <n v="1"/>
    <n v="0"/>
    <x v="0"/>
    <n v="0"/>
    <n v="0"/>
    <m/>
    <n v="97.4"/>
  </r>
  <r>
    <s v="USR-101053"/>
    <d v="2025-02-03T00:00:00"/>
    <x v="1"/>
    <x v="0"/>
    <x v="0"/>
    <x v="0"/>
    <s v="Free"/>
    <n v="1"/>
    <n v="1"/>
    <n v="1"/>
    <n v="1"/>
    <x v="49"/>
    <n v="0"/>
    <n v="0"/>
    <n v="14"/>
    <n v="81"/>
  </r>
  <r>
    <s v="USR-101054"/>
    <d v="2025-01-27T00:00:00"/>
    <x v="1"/>
    <x v="3"/>
    <x v="1"/>
    <x v="1"/>
    <s v="Free"/>
    <n v="1"/>
    <n v="0"/>
    <n v="0"/>
    <n v="0"/>
    <x v="0"/>
    <n v="1"/>
    <n v="0"/>
    <m/>
    <n v="58.9"/>
  </r>
  <r>
    <s v="USR-101055"/>
    <d v="2025-04-17T00:00:00"/>
    <x v="1"/>
    <x v="2"/>
    <x v="1"/>
    <x v="1"/>
    <s v="Free"/>
    <n v="1"/>
    <n v="0"/>
    <n v="0"/>
    <n v="0"/>
    <x v="0"/>
    <n v="0"/>
    <n v="0"/>
    <m/>
    <n v="51.9"/>
  </r>
  <r>
    <s v="USR-101056"/>
    <d v="2025-02-06T00:00:00"/>
    <x v="1"/>
    <x v="1"/>
    <x v="1"/>
    <x v="4"/>
    <s v="Free"/>
    <n v="1"/>
    <n v="1"/>
    <n v="0"/>
    <n v="0"/>
    <x v="0"/>
    <n v="0"/>
    <n v="0"/>
    <m/>
    <n v="61.7"/>
  </r>
  <r>
    <s v="USR-101057"/>
    <d v="2025-04-20T00:00:00"/>
    <x v="1"/>
    <x v="3"/>
    <x v="1"/>
    <x v="2"/>
    <s v="Free"/>
    <n v="1"/>
    <n v="0"/>
    <n v="0"/>
    <n v="0"/>
    <x v="0"/>
    <n v="0"/>
    <n v="0"/>
    <m/>
    <n v="44.7"/>
  </r>
  <r>
    <s v="USR-101058"/>
    <d v="2025-05-06T00:00:00"/>
    <x v="1"/>
    <x v="0"/>
    <x v="1"/>
    <x v="2"/>
    <s v="Basic"/>
    <n v="0"/>
    <n v="0"/>
    <n v="0"/>
    <n v="0"/>
    <x v="0"/>
    <n v="0"/>
    <n v="0"/>
    <m/>
    <n v="63.2"/>
  </r>
  <r>
    <s v="USR-101059"/>
    <d v="2025-05-16T00:00:00"/>
    <x v="1"/>
    <x v="3"/>
    <x v="1"/>
    <x v="1"/>
    <s v="Free"/>
    <n v="1"/>
    <n v="0"/>
    <n v="0"/>
    <n v="0"/>
    <x v="0"/>
    <n v="0"/>
    <n v="0"/>
    <m/>
    <n v="70.3"/>
  </r>
  <r>
    <s v="USR-101060"/>
    <d v="2025-03-02T00:00:00"/>
    <x v="1"/>
    <x v="3"/>
    <x v="1"/>
    <x v="2"/>
    <s v="Premium"/>
    <n v="1"/>
    <n v="1"/>
    <n v="0"/>
    <n v="0"/>
    <x v="0"/>
    <n v="1"/>
    <n v="0"/>
    <m/>
    <n v="83.1"/>
  </r>
  <r>
    <s v="USR-101061"/>
    <d v="2025-04-09T00:00:00"/>
    <x v="1"/>
    <x v="1"/>
    <x v="1"/>
    <x v="4"/>
    <s v="Free"/>
    <n v="0"/>
    <n v="0"/>
    <n v="0"/>
    <n v="0"/>
    <x v="0"/>
    <n v="0"/>
    <n v="0"/>
    <m/>
    <n v="50.3"/>
  </r>
  <r>
    <s v="USR-101062"/>
    <d v="2025-01-26T00:00:00"/>
    <x v="1"/>
    <x v="2"/>
    <x v="1"/>
    <x v="2"/>
    <s v="Free"/>
    <n v="1"/>
    <n v="1"/>
    <n v="1"/>
    <n v="1"/>
    <x v="50"/>
    <n v="2"/>
    <n v="1"/>
    <n v="1"/>
    <n v="58.2"/>
  </r>
  <r>
    <s v="USR-101063"/>
    <d v="2025-02-25T00:00:00"/>
    <x v="1"/>
    <x v="3"/>
    <x v="1"/>
    <x v="2"/>
    <s v="Basic"/>
    <n v="1"/>
    <n v="1"/>
    <n v="1"/>
    <n v="0"/>
    <x v="0"/>
    <n v="0"/>
    <n v="0"/>
    <m/>
    <n v="53.2"/>
  </r>
  <r>
    <s v="USR-101064"/>
    <d v="2025-01-07T00:00:00"/>
    <x v="1"/>
    <x v="2"/>
    <x v="1"/>
    <x v="1"/>
    <s v="Premium"/>
    <n v="0"/>
    <n v="0"/>
    <n v="0"/>
    <n v="0"/>
    <x v="0"/>
    <n v="0"/>
    <n v="0"/>
    <m/>
    <n v="36.4"/>
  </r>
  <r>
    <s v="USR-101065"/>
    <d v="2025-03-08T00:00:00"/>
    <x v="1"/>
    <x v="3"/>
    <x v="1"/>
    <x v="4"/>
    <s v="Basic"/>
    <n v="1"/>
    <n v="1"/>
    <n v="1"/>
    <n v="0"/>
    <x v="0"/>
    <n v="0"/>
    <n v="0"/>
    <m/>
    <n v="72.7"/>
  </r>
  <r>
    <s v="USR-101066"/>
    <d v="2025-05-22T00:00:00"/>
    <x v="1"/>
    <x v="2"/>
    <x v="1"/>
    <x v="3"/>
    <s v="Free"/>
    <n v="1"/>
    <n v="0"/>
    <n v="0"/>
    <n v="0"/>
    <x v="0"/>
    <n v="1"/>
    <n v="0"/>
    <m/>
    <n v="86.7"/>
  </r>
  <r>
    <s v="USR-101067"/>
    <d v="2025-04-18T00:00:00"/>
    <x v="1"/>
    <x v="2"/>
    <x v="1"/>
    <x v="2"/>
    <s v="Premium"/>
    <n v="1"/>
    <n v="0"/>
    <n v="0"/>
    <n v="0"/>
    <x v="0"/>
    <n v="0"/>
    <n v="0"/>
    <m/>
    <n v="48.2"/>
  </r>
  <r>
    <s v="USR-101068"/>
    <d v="2025-02-24T00:00:00"/>
    <x v="1"/>
    <x v="1"/>
    <x v="1"/>
    <x v="3"/>
    <s v="Basic"/>
    <n v="0"/>
    <n v="0"/>
    <n v="0"/>
    <n v="0"/>
    <x v="0"/>
    <n v="1"/>
    <n v="0"/>
    <m/>
    <n v="57.6"/>
  </r>
  <r>
    <s v="USR-101069"/>
    <d v="2025-02-11T00:00:00"/>
    <x v="1"/>
    <x v="0"/>
    <x v="1"/>
    <x v="1"/>
    <s v="Free"/>
    <n v="1"/>
    <n v="1"/>
    <n v="1"/>
    <n v="0"/>
    <x v="0"/>
    <n v="0"/>
    <n v="0"/>
    <m/>
    <n v="75.7"/>
  </r>
  <r>
    <s v="USR-101070"/>
    <d v="2025-03-11T00:00:00"/>
    <x v="1"/>
    <x v="1"/>
    <x v="0"/>
    <x v="2"/>
    <s v="Free"/>
    <n v="1"/>
    <n v="0"/>
    <n v="0"/>
    <n v="0"/>
    <x v="0"/>
    <n v="2"/>
    <n v="0"/>
    <m/>
    <n v="48.6"/>
  </r>
  <r>
    <s v="USR-101071"/>
    <d v="2025-04-11T00:00:00"/>
    <x v="1"/>
    <x v="2"/>
    <x v="2"/>
    <x v="3"/>
    <s v="Free"/>
    <n v="1"/>
    <n v="1"/>
    <n v="1"/>
    <n v="0"/>
    <x v="0"/>
    <n v="0"/>
    <n v="0"/>
    <m/>
    <n v="72"/>
  </r>
  <r>
    <s v="USR-101072"/>
    <d v="2025-03-11T00:00:00"/>
    <x v="1"/>
    <x v="0"/>
    <x v="1"/>
    <x v="1"/>
    <s v="Free"/>
    <n v="0"/>
    <n v="0"/>
    <n v="0"/>
    <n v="0"/>
    <x v="0"/>
    <n v="0"/>
    <n v="0"/>
    <m/>
    <n v="72.2"/>
  </r>
  <r>
    <s v="USR-101073"/>
    <d v="2025-05-22T00:00:00"/>
    <x v="1"/>
    <x v="2"/>
    <x v="1"/>
    <x v="3"/>
    <s v="Free"/>
    <n v="1"/>
    <n v="0"/>
    <n v="0"/>
    <n v="0"/>
    <x v="0"/>
    <n v="1"/>
    <n v="0"/>
    <m/>
    <m/>
  </r>
  <r>
    <s v="USR-101074"/>
    <d v="2025-02-22T00:00:00"/>
    <x v="1"/>
    <x v="3"/>
    <x v="0"/>
    <x v="1"/>
    <s v="Free"/>
    <n v="1"/>
    <n v="1"/>
    <n v="1"/>
    <n v="1"/>
    <x v="51"/>
    <n v="2"/>
    <n v="0"/>
    <n v="4"/>
    <n v="56.8"/>
  </r>
  <r>
    <s v="USR-101075"/>
    <d v="2025-01-13T00:00:00"/>
    <x v="1"/>
    <x v="2"/>
    <x v="1"/>
    <x v="2"/>
    <s v="Basic"/>
    <n v="1"/>
    <n v="0"/>
    <n v="0"/>
    <n v="0"/>
    <x v="0"/>
    <n v="0"/>
    <n v="0"/>
    <m/>
    <n v="62.5"/>
  </r>
  <r>
    <s v="USR-101076"/>
    <d v="2025-05-19T00:00:00"/>
    <x v="1"/>
    <x v="3"/>
    <x v="1"/>
    <x v="1"/>
    <s v="Free"/>
    <n v="1"/>
    <n v="0"/>
    <n v="0"/>
    <n v="0"/>
    <x v="0"/>
    <n v="0"/>
    <n v="0"/>
    <m/>
    <n v="63.4"/>
  </r>
  <r>
    <s v="USR-101077"/>
    <d v="2025-03-08T00:00:00"/>
    <x v="1"/>
    <x v="0"/>
    <x v="2"/>
    <x v="1"/>
    <s v="Basic"/>
    <n v="1"/>
    <n v="1"/>
    <n v="1"/>
    <n v="1"/>
    <x v="52"/>
    <n v="0"/>
    <n v="0"/>
    <n v="3"/>
    <n v="46.8"/>
  </r>
  <r>
    <s v="USR-101078"/>
    <d v="2025-04-20T00:00:00"/>
    <x v="1"/>
    <x v="3"/>
    <x v="1"/>
    <x v="1"/>
    <s v="Free"/>
    <n v="1"/>
    <n v="1"/>
    <n v="1"/>
    <n v="1"/>
    <x v="53"/>
    <n v="0"/>
    <n v="0"/>
    <n v="8"/>
    <n v="86.5"/>
  </r>
  <r>
    <s v="USR-101079"/>
    <d v="2025-05-08T00:00:00"/>
    <x v="1"/>
    <x v="1"/>
    <x v="1"/>
    <x v="0"/>
    <s v="Basic"/>
    <n v="0"/>
    <n v="0"/>
    <n v="0"/>
    <n v="0"/>
    <x v="0"/>
    <n v="1"/>
    <n v="0"/>
    <m/>
    <n v="75.099999999999994"/>
  </r>
  <r>
    <s v="USR-101080"/>
    <d v="2025-05-10T00:00:00"/>
    <x v="1"/>
    <x v="3"/>
    <x v="1"/>
    <x v="1"/>
    <s v="Basic"/>
    <n v="1"/>
    <n v="0"/>
    <n v="0"/>
    <n v="0"/>
    <x v="0"/>
    <n v="0"/>
    <n v="0"/>
    <m/>
    <n v="64.5"/>
  </r>
  <r>
    <s v="USR-101081"/>
    <d v="2025-03-28T00:00:00"/>
    <x v="1"/>
    <x v="2"/>
    <x v="1"/>
    <x v="1"/>
    <s v="Free"/>
    <n v="1"/>
    <n v="0"/>
    <n v="0"/>
    <n v="0"/>
    <x v="0"/>
    <n v="0"/>
    <n v="0"/>
    <m/>
    <n v="54.2"/>
  </r>
  <r>
    <s v="USR-101082"/>
    <d v="2025-04-30T00:00:00"/>
    <x v="1"/>
    <x v="2"/>
    <x v="1"/>
    <x v="2"/>
    <s v="Premium"/>
    <n v="1"/>
    <n v="1"/>
    <n v="1"/>
    <n v="0"/>
    <x v="0"/>
    <n v="0"/>
    <n v="0"/>
    <m/>
    <n v="84.1"/>
  </r>
  <r>
    <s v="USR-101083"/>
    <d v="2025-02-08T00:00:00"/>
    <x v="1"/>
    <x v="0"/>
    <x v="1"/>
    <x v="1"/>
    <s v="Basic"/>
    <n v="0"/>
    <n v="0"/>
    <n v="0"/>
    <n v="0"/>
    <x v="0"/>
    <n v="1"/>
    <n v="0"/>
    <m/>
    <n v="49.1"/>
  </r>
  <r>
    <s v="USR-101084"/>
    <d v="2025-03-07T00:00:00"/>
    <x v="1"/>
    <x v="3"/>
    <x v="1"/>
    <x v="3"/>
    <s v="Premium"/>
    <n v="0"/>
    <n v="0"/>
    <n v="0"/>
    <n v="0"/>
    <x v="0"/>
    <n v="0"/>
    <n v="0"/>
    <m/>
    <n v="92.7"/>
  </r>
  <r>
    <s v="USR-101085"/>
    <d v="2025-05-21T00:00:00"/>
    <x v="1"/>
    <x v="3"/>
    <x v="1"/>
    <x v="4"/>
    <s v="Basic"/>
    <n v="1"/>
    <n v="1"/>
    <n v="1"/>
    <n v="0"/>
    <x v="0"/>
    <n v="1"/>
    <n v="0"/>
    <m/>
    <n v="58.7"/>
  </r>
  <r>
    <s v="USR-101086"/>
    <d v="2025-04-12T00:00:00"/>
    <x v="1"/>
    <x v="3"/>
    <x v="1"/>
    <x v="4"/>
    <s v="Free"/>
    <n v="1"/>
    <n v="1"/>
    <n v="1"/>
    <n v="0"/>
    <x v="0"/>
    <n v="0"/>
    <n v="0"/>
    <m/>
    <n v="59.3"/>
  </r>
  <r>
    <s v="USR-101087"/>
    <d v="2025-02-02T00:00:00"/>
    <x v="1"/>
    <x v="3"/>
    <x v="1"/>
    <x v="2"/>
    <s v="Free"/>
    <n v="1"/>
    <n v="0"/>
    <n v="0"/>
    <n v="0"/>
    <x v="0"/>
    <n v="0"/>
    <n v="0"/>
    <m/>
    <n v="62"/>
  </r>
  <r>
    <s v="USR-101088"/>
    <d v="2025-04-22T00:00:00"/>
    <x v="1"/>
    <x v="0"/>
    <x v="2"/>
    <x v="3"/>
    <s v="Free"/>
    <n v="1"/>
    <n v="1"/>
    <n v="1"/>
    <n v="0"/>
    <x v="0"/>
    <n v="1"/>
    <n v="0"/>
    <m/>
    <n v="60.3"/>
  </r>
  <r>
    <s v="USR-101089"/>
    <d v="2025-02-08T00:00:00"/>
    <x v="1"/>
    <x v="0"/>
    <x v="1"/>
    <x v="4"/>
    <s v="Basic"/>
    <n v="1"/>
    <n v="0"/>
    <n v="0"/>
    <n v="0"/>
    <x v="0"/>
    <n v="0"/>
    <n v="0"/>
    <m/>
    <n v="70.5"/>
  </r>
  <r>
    <s v="USR-101090"/>
    <d v="2025-01-24T00:00:00"/>
    <x v="1"/>
    <x v="3"/>
    <x v="0"/>
    <x v="0"/>
    <s v="Free"/>
    <n v="1"/>
    <n v="0"/>
    <n v="0"/>
    <n v="0"/>
    <x v="0"/>
    <n v="0"/>
    <n v="0"/>
    <m/>
    <n v="36.799999999999997"/>
  </r>
  <r>
    <s v="USR-101091"/>
    <d v="2025-05-12T00:00:00"/>
    <x v="1"/>
    <x v="3"/>
    <x v="1"/>
    <x v="2"/>
    <s v="Basic"/>
    <n v="0"/>
    <n v="0"/>
    <n v="0"/>
    <n v="0"/>
    <x v="0"/>
    <n v="1"/>
    <n v="0"/>
    <m/>
    <n v="73.2"/>
  </r>
  <r>
    <s v="USR-101092"/>
    <d v="2025-03-30T00:00:00"/>
    <x v="1"/>
    <x v="0"/>
    <x v="1"/>
    <x v="1"/>
    <s v="Basic"/>
    <n v="0"/>
    <n v="0"/>
    <n v="0"/>
    <n v="0"/>
    <x v="0"/>
    <n v="0"/>
    <n v="0"/>
    <m/>
    <n v="70.099999999999994"/>
  </r>
  <r>
    <s v="USR-101093"/>
    <d v="2025-01-02T00:00:00"/>
    <x v="1"/>
    <x v="3"/>
    <x v="0"/>
    <x v="2"/>
    <s v="Basic"/>
    <n v="1"/>
    <n v="0"/>
    <n v="0"/>
    <n v="0"/>
    <x v="0"/>
    <n v="0"/>
    <n v="0"/>
    <m/>
    <n v="76.400000000000006"/>
  </r>
  <r>
    <s v="USR-101094"/>
    <d v="2025-03-21T00:00:00"/>
    <x v="1"/>
    <x v="3"/>
    <x v="2"/>
    <x v="0"/>
    <s v="Basic"/>
    <n v="0"/>
    <n v="0"/>
    <n v="0"/>
    <n v="0"/>
    <x v="0"/>
    <n v="0"/>
    <n v="0"/>
    <m/>
    <n v="46.4"/>
  </r>
  <r>
    <s v="USR-101095"/>
    <d v="2025-01-25T00:00:00"/>
    <x v="1"/>
    <x v="1"/>
    <x v="1"/>
    <x v="1"/>
    <s v="Free"/>
    <n v="1"/>
    <n v="1"/>
    <n v="1"/>
    <n v="0"/>
    <x v="0"/>
    <n v="1"/>
    <n v="0"/>
    <m/>
    <n v="81.3"/>
  </r>
  <r>
    <s v="USR-101096"/>
    <d v="2025-01-12T00:00:00"/>
    <x v="1"/>
    <x v="3"/>
    <x v="2"/>
    <x v="4"/>
    <s v="Free"/>
    <n v="1"/>
    <n v="1"/>
    <n v="1"/>
    <n v="0"/>
    <x v="0"/>
    <n v="0"/>
    <n v="0"/>
    <m/>
    <n v="55.3"/>
  </r>
  <r>
    <s v="USR-101097"/>
    <d v="2025-03-18T00:00:00"/>
    <x v="1"/>
    <x v="2"/>
    <x v="0"/>
    <x v="3"/>
    <s v="Free"/>
    <n v="1"/>
    <n v="0"/>
    <n v="0"/>
    <n v="0"/>
    <x v="0"/>
    <n v="0"/>
    <n v="0"/>
    <m/>
    <n v="44.7"/>
  </r>
  <r>
    <s v="USR-101098"/>
    <d v="2025-03-26T00:00:00"/>
    <x v="1"/>
    <x v="2"/>
    <x v="1"/>
    <x v="2"/>
    <s v="Basic"/>
    <n v="1"/>
    <n v="0"/>
    <n v="0"/>
    <n v="0"/>
    <x v="0"/>
    <n v="0"/>
    <n v="0"/>
    <m/>
    <n v="67.2"/>
  </r>
  <r>
    <s v="USR-101099"/>
    <d v="2025-04-19T00:00:00"/>
    <x v="1"/>
    <x v="0"/>
    <x v="1"/>
    <x v="2"/>
    <s v="Basic"/>
    <n v="1"/>
    <n v="0"/>
    <n v="0"/>
    <n v="0"/>
    <x v="0"/>
    <n v="0"/>
    <n v="0"/>
    <m/>
    <m/>
  </r>
  <r>
    <s v="USR-101100"/>
    <d v="2025-04-17T00:00:00"/>
    <x v="1"/>
    <x v="2"/>
    <x v="1"/>
    <x v="1"/>
    <s v="Premium"/>
    <n v="1"/>
    <n v="1"/>
    <n v="1"/>
    <n v="0"/>
    <x v="0"/>
    <n v="1"/>
    <n v="0"/>
    <m/>
    <n v="70.8"/>
  </r>
  <r>
    <s v="USR-101101"/>
    <d v="2025-05-26T00:00:00"/>
    <x v="1"/>
    <x v="3"/>
    <x v="1"/>
    <x v="2"/>
    <s v="Free"/>
    <n v="1"/>
    <n v="0"/>
    <n v="0"/>
    <n v="0"/>
    <x v="0"/>
    <n v="0"/>
    <n v="0"/>
    <m/>
    <n v="71.3"/>
  </r>
  <r>
    <s v="USR-101102"/>
    <d v="2025-04-14T00:00:00"/>
    <x v="1"/>
    <x v="0"/>
    <x v="1"/>
    <x v="4"/>
    <s v="Premium"/>
    <n v="1"/>
    <n v="1"/>
    <n v="1"/>
    <n v="0"/>
    <x v="0"/>
    <n v="0"/>
    <n v="0"/>
    <m/>
    <n v="69.400000000000006"/>
  </r>
  <r>
    <s v="USR-101103"/>
    <d v="2025-01-23T00:00:00"/>
    <x v="1"/>
    <x v="3"/>
    <x v="1"/>
    <x v="1"/>
    <s v="Basic"/>
    <n v="1"/>
    <n v="1"/>
    <n v="0"/>
    <n v="0"/>
    <x v="0"/>
    <n v="0"/>
    <n v="0"/>
    <m/>
    <n v="58.9"/>
  </r>
  <r>
    <s v="USR-101104"/>
    <d v="2025-01-06T00:00:00"/>
    <x v="1"/>
    <x v="2"/>
    <x v="1"/>
    <x v="3"/>
    <s v="Free"/>
    <n v="0"/>
    <n v="0"/>
    <n v="0"/>
    <n v="0"/>
    <x v="0"/>
    <n v="0"/>
    <n v="0"/>
    <m/>
    <n v="70.7"/>
  </r>
  <r>
    <s v="USR-101105"/>
    <d v="2025-05-31T00:00:00"/>
    <x v="1"/>
    <x v="1"/>
    <x v="1"/>
    <x v="0"/>
    <s v="Basic"/>
    <n v="1"/>
    <n v="0"/>
    <n v="0"/>
    <n v="0"/>
    <x v="0"/>
    <n v="0"/>
    <n v="0"/>
    <m/>
    <n v="60.5"/>
  </r>
  <r>
    <s v="USR-101106"/>
    <d v="2025-05-19T00:00:00"/>
    <x v="1"/>
    <x v="0"/>
    <x v="1"/>
    <x v="1"/>
    <s v="Basic"/>
    <n v="1"/>
    <n v="1"/>
    <n v="1"/>
    <n v="0"/>
    <x v="0"/>
    <n v="0"/>
    <n v="0"/>
    <m/>
    <n v="77.3"/>
  </r>
  <r>
    <s v="USR-101107"/>
    <d v="2025-02-25T00:00:00"/>
    <x v="1"/>
    <x v="0"/>
    <x v="1"/>
    <x v="1"/>
    <s v="Free"/>
    <n v="0"/>
    <n v="0"/>
    <n v="0"/>
    <n v="0"/>
    <x v="0"/>
    <n v="1"/>
    <n v="0"/>
    <m/>
    <n v="39.5"/>
  </r>
  <r>
    <s v="USR-101108"/>
    <d v="2025-01-10T00:00:00"/>
    <x v="1"/>
    <x v="3"/>
    <x v="2"/>
    <x v="1"/>
    <s v="Basic"/>
    <n v="1"/>
    <n v="0"/>
    <n v="0"/>
    <n v="0"/>
    <x v="0"/>
    <n v="0"/>
    <n v="0"/>
    <m/>
    <n v="68.099999999999994"/>
  </r>
  <r>
    <s v="USR-101109"/>
    <d v="2025-05-13T00:00:00"/>
    <x v="1"/>
    <x v="0"/>
    <x v="2"/>
    <x v="2"/>
    <s v="Free"/>
    <n v="0"/>
    <n v="0"/>
    <n v="0"/>
    <n v="0"/>
    <x v="0"/>
    <n v="0"/>
    <n v="0"/>
    <m/>
    <n v="80.3"/>
  </r>
  <r>
    <s v="USR-101110"/>
    <d v="2025-04-27T00:00:00"/>
    <x v="1"/>
    <x v="1"/>
    <x v="0"/>
    <x v="1"/>
    <s v="Premium"/>
    <n v="1"/>
    <n v="0"/>
    <n v="0"/>
    <n v="0"/>
    <x v="0"/>
    <n v="0"/>
    <n v="0"/>
    <m/>
    <n v="77.7"/>
  </r>
  <r>
    <s v="USR-101111"/>
    <d v="2025-04-03T00:00:00"/>
    <x v="1"/>
    <x v="3"/>
    <x v="1"/>
    <x v="1"/>
    <s v="Free"/>
    <n v="1"/>
    <n v="0"/>
    <n v="0"/>
    <n v="0"/>
    <x v="0"/>
    <n v="1"/>
    <n v="0"/>
    <m/>
    <n v="66.2"/>
  </r>
  <r>
    <s v="USR-101112"/>
    <d v="2025-03-26T00:00:00"/>
    <x v="1"/>
    <x v="3"/>
    <x v="1"/>
    <x v="1"/>
    <s v="Free"/>
    <n v="1"/>
    <n v="1"/>
    <n v="1"/>
    <n v="0"/>
    <x v="0"/>
    <n v="1"/>
    <n v="0"/>
    <m/>
    <n v="43.9"/>
  </r>
  <r>
    <s v="USR-101113"/>
    <d v="2025-01-31T00:00:00"/>
    <x v="1"/>
    <x v="3"/>
    <x v="1"/>
    <x v="1"/>
    <s v="Basic"/>
    <n v="1"/>
    <n v="1"/>
    <n v="1"/>
    <n v="0"/>
    <x v="0"/>
    <n v="2"/>
    <n v="0"/>
    <m/>
    <n v="59.1"/>
  </r>
  <r>
    <s v="USR-101114"/>
    <d v="2025-01-25T00:00:00"/>
    <x v="1"/>
    <x v="3"/>
    <x v="1"/>
    <x v="4"/>
    <s v="Free"/>
    <n v="1"/>
    <n v="1"/>
    <n v="1"/>
    <n v="1"/>
    <x v="54"/>
    <n v="1"/>
    <n v="0"/>
    <n v="11"/>
    <n v="67"/>
  </r>
  <r>
    <s v="USR-101115"/>
    <d v="2025-02-06T00:00:00"/>
    <x v="1"/>
    <x v="1"/>
    <x v="1"/>
    <x v="3"/>
    <s v="Basic"/>
    <n v="1"/>
    <n v="0"/>
    <n v="0"/>
    <n v="0"/>
    <x v="0"/>
    <n v="0"/>
    <n v="0"/>
    <m/>
    <n v="47.9"/>
  </r>
  <r>
    <s v="USR-101116"/>
    <d v="2025-03-10T00:00:00"/>
    <x v="1"/>
    <x v="2"/>
    <x v="1"/>
    <x v="2"/>
    <s v="Free"/>
    <n v="1"/>
    <n v="1"/>
    <n v="0"/>
    <n v="0"/>
    <x v="0"/>
    <n v="0"/>
    <n v="0"/>
    <m/>
    <n v="41.5"/>
  </r>
  <r>
    <s v="USR-101117"/>
    <d v="2025-01-26T00:00:00"/>
    <x v="1"/>
    <x v="1"/>
    <x v="1"/>
    <x v="1"/>
    <s v="Basic"/>
    <n v="1"/>
    <n v="1"/>
    <n v="1"/>
    <n v="0"/>
    <x v="0"/>
    <n v="3"/>
    <n v="0"/>
    <m/>
    <n v="30.6"/>
  </r>
  <r>
    <s v="USR-101118"/>
    <d v="2025-01-01T00:00:00"/>
    <x v="1"/>
    <x v="2"/>
    <x v="1"/>
    <x v="2"/>
    <s v="Free"/>
    <n v="1"/>
    <n v="1"/>
    <n v="0"/>
    <n v="0"/>
    <x v="0"/>
    <n v="0"/>
    <n v="0"/>
    <m/>
    <n v="91.5"/>
  </r>
  <r>
    <s v="USR-101119"/>
    <d v="2025-04-28T00:00:00"/>
    <x v="1"/>
    <x v="0"/>
    <x v="0"/>
    <x v="4"/>
    <s v="Basic"/>
    <n v="1"/>
    <n v="0"/>
    <n v="0"/>
    <n v="0"/>
    <x v="0"/>
    <n v="0"/>
    <n v="0"/>
    <m/>
    <n v="80.8"/>
  </r>
  <r>
    <s v="USR-101120"/>
    <d v="2025-04-04T00:00:00"/>
    <x v="1"/>
    <x v="0"/>
    <x v="1"/>
    <x v="1"/>
    <s v="Premium"/>
    <n v="1"/>
    <n v="0"/>
    <n v="0"/>
    <n v="0"/>
    <x v="0"/>
    <n v="0"/>
    <n v="0"/>
    <m/>
    <n v="68.099999999999994"/>
  </r>
  <r>
    <s v="USR-101121"/>
    <d v="2025-03-02T00:00:00"/>
    <x v="1"/>
    <x v="2"/>
    <x v="1"/>
    <x v="2"/>
    <s v="Free"/>
    <n v="1"/>
    <n v="0"/>
    <n v="0"/>
    <n v="0"/>
    <x v="0"/>
    <n v="0"/>
    <n v="0"/>
    <m/>
    <n v="80.3"/>
  </r>
  <r>
    <s v="USR-101122"/>
    <d v="2025-03-19T00:00:00"/>
    <x v="1"/>
    <x v="3"/>
    <x v="2"/>
    <x v="1"/>
    <s v="Basic"/>
    <n v="1"/>
    <n v="0"/>
    <n v="0"/>
    <n v="0"/>
    <x v="0"/>
    <n v="0"/>
    <n v="0"/>
    <m/>
    <n v="44.4"/>
  </r>
  <r>
    <s v="USR-101123"/>
    <d v="2025-01-20T00:00:00"/>
    <x v="1"/>
    <x v="3"/>
    <x v="0"/>
    <x v="1"/>
    <s v="Basic"/>
    <n v="0"/>
    <n v="0"/>
    <n v="0"/>
    <n v="0"/>
    <x v="0"/>
    <n v="0"/>
    <n v="0"/>
    <m/>
    <n v="51.9"/>
  </r>
  <r>
    <s v="USR-101124"/>
    <d v="2025-04-03T00:00:00"/>
    <x v="1"/>
    <x v="2"/>
    <x v="1"/>
    <x v="2"/>
    <s v="Free"/>
    <n v="1"/>
    <n v="1"/>
    <n v="0"/>
    <n v="0"/>
    <x v="0"/>
    <n v="0"/>
    <n v="0"/>
    <m/>
    <n v="49.8"/>
  </r>
  <r>
    <s v="USR-101125"/>
    <d v="2025-01-11T00:00:00"/>
    <x v="1"/>
    <x v="2"/>
    <x v="0"/>
    <x v="4"/>
    <s v="Free"/>
    <n v="1"/>
    <n v="1"/>
    <n v="1"/>
    <n v="0"/>
    <x v="0"/>
    <n v="3"/>
    <n v="0"/>
    <m/>
    <n v="62.1"/>
  </r>
  <r>
    <s v="USR-101126"/>
    <d v="2025-02-02T00:00:00"/>
    <x v="1"/>
    <x v="1"/>
    <x v="0"/>
    <x v="4"/>
    <s v="Basic"/>
    <n v="1"/>
    <n v="0"/>
    <n v="0"/>
    <n v="0"/>
    <x v="0"/>
    <n v="0"/>
    <n v="0"/>
    <m/>
    <n v="91.3"/>
  </r>
  <r>
    <s v="USR-101127"/>
    <d v="2025-04-01T00:00:00"/>
    <x v="1"/>
    <x v="3"/>
    <x v="1"/>
    <x v="1"/>
    <s v="Basic"/>
    <n v="1"/>
    <n v="0"/>
    <n v="0"/>
    <n v="0"/>
    <x v="0"/>
    <n v="0"/>
    <n v="0"/>
    <m/>
    <n v="66.400000000000006"/>
  </r>
  <r>
    <s v="USR-101128"/>
    <d v="2025-05-22T00:00:00"/>
    <x v="1"/>
    <x v="2"/>
    <x v="1"/>
    <x v="1"/>
    <s v="Basic"/>
    <n v="1"/>
    <n v="0"/>
    <n v="0"/>
    <n v="0"/>
    <x v="0"/>
    <n v="0"/>
    <n v="0"/>
    <m/>
    <n v="41.5"/>
  </r>
  <r>
    <s v="USR-101129"/>
    <d v="2025-02-20T00:00:00"/>
    <x v="1"/>
    <x v="1"/>
    <x v="1"/>
    <x v="1"/>
    <s v="Basic"/>
    <n v="0"/>
    <n v="0"/>
    <n v="0"/>
    <n v="0"/>
    <x v="0"/>
    <n v="0"/>
    <n v="0"/>
    <m/>
    <n v="77.099999999999994"/>
  </r>
  <r>
    <s v="USR-101130"/>
    <d v="2025-03-21T00:00:00"/>
    <x v="1"/>
    <x v="1"/>
    <x v="1"/>
    <x v="1"/>
    <s v="Free"/>
    <n v="1"/>
    <n v="0"/>
    <n v="0"/>
    <n v="0"/>
    <x v="0"/>
    <n v="0"/>
    <n v="0"/>
    <m/>
    <n v="63.2"/>
  </r>
  <r>
    <s v="USR-101131"/>
    <d v="2025-05-01T00:00:00"/>
    <x v="1"/>
    <x v="1"/>
    <x v="0"/>
    <x v="3"/>
    <s v="Free"/>
    <n v="1"/>
    <n v="1"/>
    <n v="1"/>
    <n v="0"/>
    <x v="0"/>
    <n v="3"/>
    <n v="0"/>
    <m/>
    <n v="75.7"/>
  </r>
  <r>
    <s v="USR-101132"/>
    <d v="2025-01-06T00:00:00"/>
    <x v="1"/>
    <x v="1"/>
    <x v="1"/>
    <x v="2"/>
    <s v="Basic"/>
    <n v="0"/>
    <n v="0"/>
    <n v="0"/>
    <n v="0"/>
    <x v="0"/>
    <n v="0"/>
    <n v="0"/>
    <m/>
    <n v="62.9"/>
  </r>
  <r>
    <s v="USR-101133"/>
    <d v="2025-04-12T00:00:00"/>
    <x v="1"/>
    <x v="0"/>
    <x v="0"/>
    <x v="2"/>
    <s v="Premium"/>
    <n v="1"/>
    <n v="0"/>
    <n v="0"/>
    <n v="0"/>
    <x v="0"/>
    <n v="3"/>
    <n v="0"/>
    <m/>
    <n v="64.599999999999994"/>
  </r>
  <r>
    <s v="USR-101134"/>
    <d v="2025-04-18T00:00:00"/>
    <x v="1"/>
    <x v="0"/>
    <x v="1"/>
    <x v="5"/>
    <s v="Basic"/>
    <n v="1"/>
    <n v="0"/>
    <n v="0"/>
    <n v="0"/>
    <x v="0"/>
    <n v="0"/>
    <n v="0"/>
    <m/>
    <n v="76.599999999999994"/>
  </r>
  <r>
    <s v="USR-101135"/>
    <d v="2025-03-24T00:00:00"/>
    <x v="1"/>
    <x v="2"/>
    <x v="1"/>
    <x v="4"/>
    <s v="Basic"/>
    <n v="1"/>
    <n v="0"/>
    <n v="0"/>
    <n v="0"/>
    <x v="0"/>
    <n v="0"/>
    <n v="0"/>
    <m/>
    <n v="74.8"/>
  </r>
  <r>
    <s v="USR-101136"/>
    <d v="2025-03-18T00:00:00"/>
    <x v="1"/>
    <x v="2"/>
    <x v="0"/>
    <x v="0"/>
    <s v="Premium"/>
    <n v="1"/>
    <n v="0"/>
    <n v="0"/>
    <n v="0"/>
    <x v="0"/>
    <n v="2"/>
    <n v="0"/>
    <m/>
    <n v="38.1"/>
  </r>
  <r>
    <s v="USR-101137"/>
    <d v="2025-04-30T00:00:00"/>
    <x v="1"/>
    <x v="3"/>
    <x v="2"/>
    <x v="2"/>
    <s v="Basic"/>
    <n v="1"/>
    <n v="1"/>
    <n v="0"/>
    <n v="0"/>
    <x v="0"/>
    <n v="0"/>
    <n v="0"/>
    <m/>
    <n v="60.2"/>
  </r>
  <r>
    <s v="USR-101138"/>
    <d v="2025-01-25T00:00:00"/>
    <x v="1"/>
    <x v="1"/>
    <x v="1"/>
    <x v="0"/>
    <s v="Free"/>
    <n v="1"/>
    <n v="1"/>
    <n v="0"/>
    <n v="0"/>
    <x v="0"/>
    <n v="0"/>
    <n v="0"/>
    <m/>
    <n v="73.5"/>
  </r>
  <r>
    <s v="USR-101139"/>
    <d v="2025-04-10T00:00:00"/>
    <x v="1"/>
    <x v="3"/>
    <x v="1"/>
    <x v="1"/>
    <s v="Free"/>
    <n v="1"/>
    <n v="0"/>
    <n v="0"/>
    <n v="0"/>
    <x v="0"/>
    <n v="0"/>
    <n v="0"/>
    <m/>
    <n v="70.900000000000006"/>
  </r>
  <r>
    <s v="USR-101140"/>
    <d v="2025-01-10T00:00:00"/>
    <x v="1"/>
    <x v="1"/>
    <x v="1"/>
    <x v="4"/>
    <s v="Free"/>
    <n v="1"/>
    <n v="0"/>
    <n v="0"/>
    <n v="0"/>
    <x v="0"/>
    <n v="0"/>
    <n v="0"/>
    <m/>
    <n v="63.7"/>
  </r>
  <r>
    <s v="USR-101141"/>
    <d v="2025-02-11T00:00:00"/>
    <x v="1"/>
    <x v="3"/>
    <x v="1"/>
    <x v="2"/>
    <s v="Free"/>
    <n v="1"/>
    <n v="0"/>
    <n v="0"/>
    <n v="0"/>
    <x v="0"/>
    <n v="0"/>
    <n v="0"/>
    <m/>
    <n v="86.5"/>
  </r>
  <r>
    <s v="USR-101142"/>
    <d v="2025-05-01T00:00:00"/>
    <x v="1"/>
    <x v="2"/>
    <x v="1"/>
    <x v="4"/>
    <s v="Basic"/>
    <n v="1"/>
    <n v="1"/>
    <n v="1"/>
    <n v="1"/>
    <x v="55"/>
    <n v="3"/>
    <n v="0"/>
    <n v="7"/>
    <n v="74.599999999999994"/>
  </r>
  <r>
    <s v="USR-101143"/>
    <d v="2025-01-18T00:00:00"/>
    <x v="1"/>
    <x v="2"/>
    <x v="1"/>
    <x v="1"/>
    <s v="Free"/>
    <n v="1"/>
    <n v="0"/>
    <n v="0"/>
    <n v="0"/>
    <x v="0"/>
    <n v="0"/>
    <n v="0"/>
    <m/>
    <n v="46.6"/>
  </r>
  <r>
    <s v="USR-101144"/>
    <d v="2025-01-02T00:00:00"/>
    <x v="1"/>
    <x v="0"/>
    <x v="1"/>
    <x v="2"/>
    <s v="Free"/>
    <n v="0"/>
    <n v="0"/>
    <n v="0"/>
    <n v="0"/>
    <x v="0"/>
    <n v="0"/>
    <n v="0"/>
    <m/>
    <n v="61.2"/>
  </r>
  <r>
    <s v="USR-101145"/>
    <d v="2025-05-11T00:00:00"/>
    <x v="1"/>
    <x v="1"/>
    <x v="1"/>
    <x v="1"/>
    <s v="Free"/>
    <n v="1"/>
    <n v="1"/>
    <n v="1"/>
    <n v="1"/>
    <x v="56"/>
    <n v="0"/>
    <n v="0"/>
    <n v="4"/>
    <n v="54.4"/>
  </r>
  <r>
    <s v="USR-101146"/>
    <d v="2025-03-22T00:00:00"/>
    <x v="1"/>
    <x v="0"/>
    <x v="1"/>
    <x v="3"/>
    <s v="Free"/>
    <n v="1"/>
    <n v="1"/>
    <n v="1"/>
    <n v="0"/>
    <x v="0"/>
    <n v="0"/>
    <n v="0"/>
    <m/>
    <n v="72"/>
  </r>
  <r>
    <s v="USR-101147"/>
    <d v="2025-05-02T00:00:00"/>
    <x v="1"/>
    <x v="3"/>
    <x v="1"/>
    <x v="4"/>
    <s v="Premium"/>
    <n v="1"/>
    <n v="1"/>
    <n v="1"/>
    <n v="1"/>
    <x v="57"/>
    <n v="0"/>
    <n v="0"/>
    <n v="8"/>
    <n v="88.6"/>
  </r>
  <r>
    <s v="USR-101148"/>
    <d v="2025-05-26T00:00:00"/>
    <x v="1"/>
    <x v="2"/>
    <x v="0"/>
    <x v="5"/>
    <s v="Basic"/>
    <n v="1"/>
    <n v="0"/>
    <n v="0"/>
    <n v="0"/>
    <x v="0"/>
    <n v="0"/>
    <n v="0"/>
    <m/>
    <n v="77.599999999999994"/>
  </r>
  <r>
    <s v="USR-101149"/>
    <d v="2025-03-13T00:00:00"/>
    <x v="1"/>
    <x v="3"/>
    <x v="1"/>
    <x v="1"/>
    <s v="Basic"/>
    <n v="1"/>
    <n v="0"/>
    <n v="0"/>
    <n v="0"/>
    <x v="0"/>
    <n v="1"/>
    <n v="0"/>
    <m/>
    <n v="44.3"/>
  </r>
  <r>
    <s v="USR-101150"/>
    <d v="2025-05-17T00:00:00"/>
    <x v="1"/>
    <x v="3"/>
    <x v="0"/>
    <x v="2"/>
    <s v="Free"/>
    <n v="1"/>
    <n v="1"/>
    <n v="0"/>
    <n v="0"/>
    <x v="0"/>
    <n v="0"/>
    <n v="0"/>
    <m/>
    <n v="49"/>
  </r>
  <r>
    <s v="USR-101151"/>
    <d v="2025-03-13T00:00:00"/>
    <x v="1"/>
    <x v="0"/>
    <x v="0"/>
    <x v="3"/>
    <s v="Premium"/>
    <n v="1"/>
    <n v="0"/>
    <n v="0"/>
    <n v="0"/>
    <x v="0"/>
    <n v="0"/>
    <n v="0"/>
    <m/>
    <n v="53.9"/>
  </r>
  <r>
    <s v="USR-101152"/>
    <d v="2025-02-11T00:00:00"/>
    <x v="1"/>
    <x v="2"/>
    <x v="0"/>
    <x v="1"/>
    <s v="Basic"/>
    <n v="1"/>
    <n v="0"/>
    <n v="0"/>
    <n v="0"/>
    <x v="0"/>
    <n v="1"/>
    <n v="0"/>
    <m/>
    <n v="69"/>
  </r>
  <r>
    <s v="USR-101153"/>
    <d v="2025-03-01T00:00:00"/>
    <x v="1"/>
    <x v="1"/>
    <x v="1"/>
    <x v="4"/>
    <s v="Free"/>
    <n v="0"/>
    <n v="0"/>
    <n v="0"/>
    <n v="0"/>
    <x v="0"/>
    <n v="0"/>
    <n v="0"/>
    <m/>
    <n v="37.4"/>
  </r>
  <r>
    <s v="USR-101154"/>
    <d v="2025-04-15T00:00:00"/>
    <x v="1"/>
    <x v="1"/>
    <x v="1"/>
    <x v="1"/>
    <s v="Basic"/>
    <n v="0"/>
    <n v="0"/>
    <n v="0"/>
    <n v="0"/>
    <x v="0"/>
    <n v="0"/>
    <n v="0"/>
    <m/>
    <n v="59"/>
  </r>
  <r>
    <s v="USR-101155"/>
    <d v="2025-02-02T00:00:00"/>
    <x v="1"/>
    <x v="2"/>
    <x v="1"/>
    <x v="1"/>
    <s v="Premium"/>
    <n v="1"/>
    <n v="0"/>
    <n v="0"/>
    <n v="0"/>
    <x v="0"/>
    <n v="0"/>
    <n v="0"/>
    <m/>
    <n v="60.8"/>
  </r>
  <r>
    <s v="USR-101156"/>
    <d v="2025-05-19T00:00:00"/>
    <x v="1"/>
    <x v="3"/>
    <x v="1"/>
    <x v="0"/>
    <s v="Free"/>
    <n v="1"/>
    <n v="0"/>
    <n v="0"/>
    <n v="0"/>
    <x v="0"/>
    <n v="0"/>
    <n v="0"/>
    <m/>
    <n v="57.5"/>
  </r>
  <r>
    <s v="USR-101157"/>
    <d v="2025-01-05T00:00:00"/>
    <x v="1"/>
    <x v="1"/>
    <x v="1"/>
    <x v="3"/>
    <s v="Free"/>
    <n v="0"/>
    <n v="0"/>
    <n v="0"/>
    <n v="0"/>
    <x v="0"/>
    <n v="0"/>
    <n v="0"/>
    <m/>
    <n v="84.2"/>
  </r>
  <r>
    <s v="USR-101158"/>
    <d v="2025-03-08T00:00:00"/>
    <x v="1"/>
    <x v="3"/>
    <x v="1"/>
    <x v="2"/>
    <s v="Free"/>
    <n v="1"/>
    <n v="1"/>
    <n v="0"/>
    <n v="0"/>
    <x v="0"/>
    <n v="0"/>
    <n v="0"/>
    <m/>
    <n v="27.4"/>
  </r>
  <r>
    <s v="USR-101159"/>
    <d v="2025-03-12T00:00:00"/>
    <x v="1"/>
    <x v="1"/>
    <x v="1"/>
    <x v="0"/>
    <s v="Basic"/>
    <n v="1"/>
    <n v="0"/>
    <n v="0"/>
    <n v="0"/>
    <x v="0"/>
    <n v="1"/>
    <n v="0"/>
    <m/>
    <n v="67.599999999999994"/>
  </r>
  <r>
    <s v="USR-101160"/>
    <d v="2025-01-24T00:00:00"/>
    <x v="1"/>
    <x v="1"/>
    <x v="1"/>
    <x v="1"/>
    <s v="Free"/>
    <n v="0"/>
    <n v="0"/>
    <n v="0"/>
    <n v="0"/>
    <x v="0"/>
    <n v="0"/>
    <n v="0"/>
    <m/>
    <n v="68.400000000000006"/>
  </r>
  <r>
    <s v="USR-101161"/>
    <d v="2025-05-22T00:00:00"/>
    <x v="1"/>
    <x v="3"/>
    <x v="1"/>
    <x v="2"/>
    <s v="Basic"/>
    <n v="1"/>
    <n v="1"/>
    <n v="1"/>
    <n v="0"/>
    <x v="0"/>
    <n v="0"/>
    <n v="0"/>
    <m/>
    <n v="66.5"/>
  </r>
  <r>
    <s v="USR-101162"/>
    <d v="2025-03-27T00:00:00"/>
    <x v="1"/>
    <x v="3"/>
    <x v="1"/>
    <x v="2"/>
    <s v="Free"/>
    <n v="1"/>
    <n v="0"/>
    <n v="0"/>
    <n v="0"/>
    <x v="0"/>
    <n v="0"/>
    <n v="0"/>
    <m/>
    <n v="38.200000000000003"/>
  </r>
  <r>
    <s v="USR-101163"/>
    <d v="2025-01-02T00:00:00"/>
    <x v="1"/>
    <x v="1"/>
    <x v="1"/>
    <x v="4"/>
    <s v="Free"/>
    <n v="0"/>
    <n v="0"/>
    <n v="0"/>
    <n v="0"/>
    <x v="0"/>
    <n v="1"/>
    <n v="0"/>
    <m/>
    <n v="66.7"/>
  </r>
  <r>
    <s v="USR-101164"/>
    <d v="2025-02-24T00:00:00"/>
    <x v="1"/>
    <x v="0"/>
    <x v="1"/>
    <x v="2"/>
    <s v="Free"/>
    <n v="0"/>
    <n v="0"/>
    <n v="0"/>
    <n v="0"/>
    <x v="0"/>
    <n v="1"/>
    <n v="0"/>
    <m/>
    <n v="73.7"/>
  </r>
  <r>
    <s v="USR-101165"/>
    <d v="2025-03-01T00:00:00"/>
    <x v="1"/>
    <x v="1"/>
    <x v="0"/>
    <x v="1"/>
    <s v="Basic"/>
    <n v="1"/>
    <n v="1"/>
    <n v="1"/>
    <n v="0"/>
    <x v="0"/>
    <n v="0"/>
    <n v="0"/>
    <m/>
    <n v="63.9"/>
  </r>
  <r>
    <s v="USR-101166"/>
    <d v="2025-03-26T00:00:00"/>
    <x v="1"/>
    <x v="3"/>
    <x v="2"/>
    <x v="1"/>
    <s v="Basic"/>
    <n v="1"/>
    <n v="0"/>
    <n v="0"/>
    <n v="0"/>
    <x v="0"/>
    <n v="1"/>
    <n v="0"/>
    <m/>
    <n v="82.6"/>
  </r>
  <r>
    <s v="USR-101167"/>
    <d v="2025-05-25T00:00:00"/>
    <x v="1"/>
    <x v="2"/>
    <x v="1"/>
    <x v="2"/>
    <s v="Free"/>
    <n v="0"/>
    <n v="0"/>
    <n v="0"/>
    <n v="0"/>
    <x v="0"/>
    <n v="1"/>
    <n v="0"/>
    <m/>
    <n v="58.3"/>
  </r>
  <r>
    <s v="USR-101168"/>
    <d v="2025-02-25T00:00:00"/>
    <x v="1"/>
    <x v="1"/>
    <x v="1"/>
    <x v="3"/>
    <s v="Premium"/>
    <n v="1"/>
    <n v="1"/>
    <n v="1"/>
    <n v="1"/>
    <x v="58"/>
    <n v="0"/>
    <n v="1"/>
    <n v="2"/>
    <n v="72.900000000000006"/>
  </r>
  <r>
    <s v="USR-101169"/>
    <d v="2025-03-23T00:00:00"/>
    <x v="1"/>
    <x v="3"/>
    <x v="1"/>
    <x v="4"/>
    <s v="Free"/>
    <n v="1"/>
    <n v="1"/>
    <n v="1"/>
    <n v="0"/>
    <x v="0"/>
    <n v="2"/>
    <n v="0"/>
    <m/>
    <n v="53.5"/>
  </r>
  <r>
    <s v="USR-101170"/>
    <d v="2025-04-21T00:00:00"/>
    <x v="1"/>
    <x v="1"/>
    <x v="1"/>
    <x v="3"/>
    <s v="Free"/>
    <n v="1"/>
    <n v="0"/>
    <n v="0"/>
    <n v="0"/>
    <x v="0"/>
    <n v="0"/>
    <n v="0"/>
    <m/>
    <n v="54.8"/>
  </r>
  <r>
    <s v="USR-101171"/>
    <d v="2025-05-21T00:00:00"/>
    <x v="1"/>
    <x v="0"/>
    <x v="1"/>
    <x v="1"/>
    <s v="Premium"/>
    <n v="1"/>
    <n v="0"/>
    <n v="0"/>
    <n v="0"/>
    <x v="0"/>
    <n v="0"/>
    <n v="0"/>
    <m/>
    <n v="69.5"/>
  </r>
  <r>
    <s v="USR-101172"/>
    <d v="2025-04-25T00:00:00"/>
    <x v="1"/>
    <x v="0"/>
    <x v="0"/>
    <x v="4"/>
    <s v="Free"/>
    <n v="1"/>
    <n v="0"/>
    <n v="0"/>
    <n v="0"/>
    <x v="0"/>
    <n v="1"/>
    <n v="0"/>
    <m/>
    <n v="71.3"/>
  </r>
  <r>
    <s v="USR-101173"/>
    <d v="2025-05-23T00:00:00"/>
    <x v="1"/>
    <x v="1"/>
    <x v="1"/>
    <x v="3"/>
    <s v="Basic"/>
    <n v="1"/>
    <n v="0"/>
    <n v="0"/>
    <n v="0"/>
    <x v="0"/>
    <n v="1"/>
    <n v="0"/>
    <m/>
    <n v="57.5"/>
  </r>
  <r>
    <s v="USR-101174"/>
    <d v="2025-03-18T00:00:00"/>
    <x v="1"/>
    <x v="3"/>
    <x v="1"/>
    <x v="0"/>
    <s v="Free"/>
    <n v="1"/>
    <n v="0"/>
    <n v="0"/>
    <n v="0"/>
    <x v="0"/>
    <n v="4"/>
    <n v="0"/>
    <m/>
    <n v="50.9"/>
  </r>
  <r>
    <s v="USR-101175"/>
    <d v="2025-01-03T00:00:00"/>
    <x v="1"/>
    <x v="3"/>
    <x v="2"/>
    <x v="1"/>
    <s v="Free"/>
    <n v="1"/>
    <n v="1"/>
    <n v="1"/>
    <n v="0"/>
    <x v="0"/>
    <n v="0"/>
    <n v="0"/>
    <m/>
    <n v="69.3"/>
  </r>
  <r>
    <s v="USR-101176"/>
    <d v="2025-02-08T00:00:00"/>
    <x v="1"/>
    <x v="1"/>
    <x v="0"/>
    <x v="1"/>
    <s v="Free"/>
    <n v="1"/>
    <n v="0"/>
    <n v="0"/>
    <n v="0"/>
    <x v="0"/>
    <n v="0"/>
    <n v="0"/>
    <m/>
    <n v="50.1"/>
  </r>
  <r>
    <s v="USR-101177"/>
    <d v="2025-02-04T00:00:00"/>
    <x v="1"/>
    <x v="2"/>
    <x v="3"/>
    <x v="2"/>
    <s v="Basic"/>
    <n v="0"/>
    <n v="0"/>
    <n v="0"/>
    <n v="0"/>
    <x v="0"/>
    <n v="0"/>
    <n v="0"/>
    <m/>
    <n v="69.7"/>
  </r>
  <r>
    <s v="USR-101178"/>
    <d v="2025-01-16T00:00:00"/>
    <x v="1"/>
    <x v="0"/>
    <x v="1"/>
    <x v="2"/>
    <s v="Free"/>
    <n v="0"/>
    <n v="0"/>
    <n v="0"/>
    <n v="0"/>
    <x v="0"/>
    <n v="0"/>
    <n v="0"/>
    <m/>
    <n v="63.5"/>
  </r>
  <r>
    <s v="USR-101179"/>
    <d v="2025-04-04T00:00:00"/>
    <x v="1"/>
    <x v="1"/>
    <x v="0"/>
    <x v="2"/>
    <s v="Free"/>
    <n v="1"/>
    <n v="1"/>
    <n v="1"/>
    <n v="1"/>
    <x v="59"/>
    <n v="1"/>
    <n v="0"/>
    <n v="8"/>
    <n v="80.400000000000006"/>
  </r>
  <r>
    <s v="USR-101180"/>
    <d v="2025-01-23T00:00:00"/>
    <x v="1"/>
    <x v="0"/>
    <x v="0"/>
    <x v="2"/>
    <s v="Free"/>
    <n v="0"/>
    <n v="0"/>
    <n v="0"/>
    <n v="0"/>
    <x v="0"/>
    <n v="0"/>
    <n v="0"/>
    <m/>
    <n v="58.9"/>
  </r>
  <r>
    <s v="USR-101181"/>
    <d v="2025-03-22T00:00:00"/>
    <x v="1"/>
    <x v="3"/>
    <x v="0"/>
    <x v="2"/>
    <s v="Free"/>
    <n v="1"/>
    <n v="0"/>
    <n v="0"/>
    <n v="0"/>
    <x v="0"/>
    <n v="0"/>
    <n v="0"/>
    <m/>
    <n v="56.8"/>
  </r>
  <r>
    <s v="USR-101182"/>
    <d v="2025-02-02T00:00:00"/>
    <x v="1"/>
    <x v="2"/>
    <x v="2"/>
    <x v="4"/>
    <s v="Premium"/>
    <n v="0"/>
    <n v="0"/>
    <n v="0"/>
    <n v="0"/>
    <x v="0"/>
    <n v="0"/>
    <n v="0"/>
    <m/>
    <n v="73.900000000000006"/>
  </r>
  <r>
    <s v="USR-101183"/>
    <d v="2025-01-31T00:00:00"/>
    <x v="1"/>
    <x v="0"/>
    <x v="0"/>
    <x v="2"/>
    <s v="Free"/>
    <n v="0"/>
    <n v="0"/>
    <n v="0"/>
    <n v="0"/>
    <x v="0"/>
    <n v="0"/>
    <n v="0"/>
    <m/>
    <n v="76.3"/>
  </r>
  <r>
    <s v="USR-101184"/>
    <d v="2025-05-27T00:00:00"/>
    <x v="1"/>
    <x v="1"/>
    <x v="1"/>
    <x v="1"/>
    <s v="Basic"/>
    <n v="1"/>
    <n v="0"/>
    <n v="0"/>
    <n v="0"/>
    <x v="0"/>
    <n v="0"/>
    <n v="0"/>
    <m/>
    <n v="56.9"/>
  </r>
  <r>
    <s v="USR-101185"/>
    <d v="2025-05-07T00:00:00"/>
    <x v="1"/>
    <x v="0"/>
    <x v="1"/>
    <x v="1"/>
    <s v="Premium"/>
    <n v="1"/>
    <n v="0"/>
    <n v="0"/>
    <n v="0"/>
    <x v="0"/>
    <n v="2"/>
    <n v="0"/>
    <m/>
    <n v="49.4"/>
  </r>
  <r>
    <s v="USR-101186"/>
    <d v="2025-05-08T00:00:00"/>
    <x v="1"/>
    <x v="0"/>
    <x v="0"/>
    <x v="2"/>
    <s v="Basic"/>
    <n v="1"/>
    <n v="0"/>
    <n v="0"/>
    <n v="0"/>
    <x v="0"/>
    <n v="0"/>
    <n v="0"/>
    <m/>
    <n v="86.7"/>
  </r>
  <r>
    <s v="USR-101187"/>
    <d v="2025-01-15T00:00:00"/>
    <x v="1"/>
    <x v="1"/>
    <x v="0"/>
    <x v="0"/>
    <s v="Free"/>
    <n v="1"/>
    <n v="0"/>
    <n v="0"/>
    <n v="0"/>
    <x v="0"/>
    <n v="3"/>
    <n v="0"/>
    <m/>
    <n v="69"/>
  </r>
  <r>
    <s v="USR-101188"/>
    <d v="2025-01-18T00:00:00"/>
    <x v="1"/>
    <x v="0"/>
    <x v="1"/>
    <x v="2"/>
    <s v="Free"/>
    <n v="0"/>
    <n v="0"/>
    <n v="0"/>
    <n v="0"/>
    <x v="0"/>
    <n v="0"/>
    <n v="0"/>
    <m/>
    <n v="84.5"/>
  </r>
  <r>
    <s v="USR-101189"/>
    <d v="2025-04-16T00:00:00"/>
    <x v="1"/>
    <x v="2"/>
    <x v="3"/>
    <x v="3"/>
    <s v="Free"/>
    <n v="1"/>
    <n v="0"/>
    <n v="0"/>
    <n v="0"/>
    <x v="0"/>
    <n v="0"/>
    <n v="0"/>
    <m/>
    <n v="66.3"/>
  </r>
  <r>
    <s v="USR-101190"/>
    <d v="2025-02-16T00:00:00"/>
    <x v="1"/>
    <x v="2"/>
    <x v="0"/>
    <x v="2"/>
    <s v="Free"/>
    <n v="0"/>
    <n v="0"/>
    <n v="0"/>
    <n v="0"/>
    <x v="0"/>
    <n v="0"/>
    <n v="0"/>
    <m/>
    <n v="52.2"/>
  </r>
  <r>
    <s v="USR-101191"/>
    <d v="2025-04-17T00:00:00"/>
    <x v="1"/>
    <x v="3"/>
    <x v="0"/>
    <x v="3"/>
    <s v="Premium"/>
    <n v="1"/>
    <n v="1"/>
    <n v="1"/>
    <n v="0"/>
    <x v="0"/>
    <n v="0"/>
    <n v="0"/>
    <m/>
    <n v="81.2"/>
  </r>
  <r>
    <s v="USR-101192"/>
    <d v="2025-04-30T00:00:00"/>
    <x v="1"/>
    <x v="3"/>
    <x v="1"/>
    <x v="1"/>
    <s v="Basic"/>
    <n v="0"/>
    <n v="0"/>
    <n v="0"/>
    <n v="0"/>
    <x v="0"/>
    <n v="0"/>
    <n v="0"/>
    <m/>
    <n v="53.9"/>
  </r>
  <r>
    <s v="USR-101193"/>
    <d v="2025-01-29T00:00:00"/>
    <x v="1"/>
    <x v="1"/>
    <x v="1"/>
    <x v="4"/>
    <s v="Premium"/>
    <n v="0"/>
    <n v="0"/>
    <n v="0"/>
    <n v="0"/>
    <x v="0"/>
    <n v="0"/>
    <n v="0"/>
    <m/>
    <n v="39.1"/>
  </r>
  <r>
    <s v="USR-101194"/>
    <d v="2025-01-11T00:00:00"/>
    <x v="1"/>
    <x v="0"/>
    <x v="1"/>
    <x v="4"/>
    <s v="Basic"/>
    <n v="0"/>
    <n v="0"/>
    <n v="0"/>
    <n v="0"/>
    <x v="0"/>
    <n v="0"/>
    <n v="0"/>
    <m/>
    <n v="57.3"/>
  </r>
  <r>
    <s v="USR-101195"/>
    <d v="2025-04-08T00:00:00"/>
    <x v="1"/>
    <x v="2"/>
    <x v="0"/>
    <x v="2"/>
    <s v="Premium"/>
    <n v="1"/>
    <n v="0"/>
    <n v="0"/>
    <n v="0"/>
    <x v="0"/>
    <n v="1"/>
    <n v="0"/>
    <m/>
    <n v="65.900000000000006"/>
  </r>
  <r>
    <s v="USR-101196"/>
    <d v="2025-02-22T00:00:00"/>
    <x v="1"/>
    <x v="0"/>
    <x v="3"/>
    <x v="4"/>
    <s v="Free"/>
    <n v="1"/>
    <n v="0"/>
    <n v="0"/>
    <n v="0"/>
    <x v="0"/>
    <n v="1"/>
    <n v="0"/>
    <m/>
    <n v="34.200000000000003"/>
  </r>
  <r>
    <s v="USR-101197"/>
    <d v="2025-03-23T00:00:00"/>
    <x v="1"/>
    <x v="3"/>
    <x v="1"/>
    <x v="1"/>
    <s v="Free"/>
    <n v="0"/>
    <n v="0"/>
    <n v="0"/>
    <n v="0"/>
    <x v="0"/>
    <n v="0"/>
    <n v="0"/>
    <m/>
    <n v="47.2"/>
  </r>
  <r>
    <s v="USR-101198"/>
    <d v="2025-05-23T00:00:00"/>
    <x v="1"/>
    <x v="3"/>
    <x v="2"/>
    <x v="2"/>
    <s v="Free"/>
    <n v="1"/>
    <n v="0"/>
    <n v="0"/>
    <n v="0"/>
    <x v="0"/>
    <n v="1"/>
    <n v="0"/>
    <m/>
    <n v="55"/>
  </r>
  <r>
    <s v="USR-101199"/>
    <d v="2025-04-27T00:00:00"/>
    <x v="1"/>
    <x v="1"/>
    <x v="1"/>
    <x v="3"/>
    <s v="Basic"/>
    <n v="1"/>
    <n v="1"/>
    <n v="1"/>
    <n v="0"/>
    <x v="0"/>
    <n v="0"/>
    <n v="0"/>
    <m/>
    <n v="76.400000000000006"/>
  </r>
  <r>
    <s v="USR-101200"/>
    <d v="2025-05-26T00:00:00"/>
    <x v="1"/>
    <x v="0"/>
    <x v="1"/>
    <x v="3"/>
    <s v="Free"/>
    <n v="1"/>
    <n v="0"/>
    <n v="0"/>
    <n v="0"/>
    <x v="0"/>
    <n v="0"/>
    <n v="0"/>
    <m/>
    <n v="70.8"/>
  </r>
  <r>
    <s v="USR-101201"/>
    <d v="2025-03-06T00:00:00"/>
    <x v="1"/>
    <x v="2"/>
    <x v="1"/>
    <x v="2"/>
    <s v="Basic"/>
    <n v="1"/>
    <n v="1"/>
    <n v="0"/>
    <n v="0"/>
    <x v="0"/>
    <n v="1"/>
    <n v="0"/>
    <m/>
    <n v="58"/>
  </r>
  <r>
    <s v="USR-101202"/>
    <d v="2025-04-03T00:00:00"/>
    <x v="1"/>
    <x v="1"/>
    <x v="1"/>
    <x v="1"/>
    <s v="Basic"/>
    <n v="1"/>
    <n v="1"/>
    <n v="1"/>
    <n v="0"/>
    <x v="0"/>
    <n v="1"/>
    <n v="0"/>
    <m/>
    <n v="70.8"/>
  </r>
  <r>
    <s v="USR-101203"/>
    <d v="2025-02-01T00:00:00"/>
    <x v="1"/>
    <x v="2"/>
    <x v="0"/>
    <x v="2"/>
    <s v="Free"/>
    <n v="1"/>
    <n v="0"/>
    <n v="0"/>
    <n v="0"/>
    <x v="0"/>
    <n v="3"/>
    <n v="0"/>
    <m/>
    <n v="60"/>
  </r>
  <r>
    <s v="USR-101204"/>
    <d v="2025-05-01T00:00:00"/>
    <x v="1"/>
    <x v="1"/>
    <x v="1"/>
    <x v="3"/>
    <s v="Premium"/>
    <n v="1"/>
    <n v="1"/>
    <n v="1"/>
    <n v="0"/>
    <x v="0"/>
    <n v="3"/>
    <n v="0"/>
    <m/>
    <n v="58.1"/>
  </r>
  <r>
    <s v="USR-101205"/>
    <d v="2025-04-13T00:00:00"/>
    <x v="1"/>
    <x v="0"/>
    <x v="1"/>
    <x v="4"/>
    <s v="Premium"/>
    <n v="0"/>
    <n v="0"/>
    <n v="0"/>
    <n v="0"/>
    <x v="0"/>
    <n v="0"/>
    <n v="0"/>
    <m/>
    <n v="59.7"/>
  </r>
  <r>
    <s v="USR-101206"/>
    <d v="2025-01-25T00:00:00"/>
    <x v="1"/>
    <x v="2"/>
    <x v="1"/>
    <x v="4"/>
    <s v="Free"/>
    <n v="0"/>
    <n v="0"/>
    <n v="0"/>
    <n v="0"/>
    <x v="0"/>
    <n v="0"/>
    <n v="0"/>
    <m/>
    <n v="47.7"/>
  </r>
  <r>
    <s v="USR-101207"/>
    <d v="2025-03-17T00:00:00"/>
    <x v="1"/>
    <x v="0"/>
    <x v="1"/>
    <x v="1"/>
    <s v="Free"/>
    <n v="0"/>
    <n v="0"/>
    <n v="0"/>
    <n v="0"/>
    <x v="0"/>
    <n v="0"/>
    <n v="0"/>
    <m/>
    <n v="59.1"/>
  </r>
  <r>
    <s v="USR-101208"/>
    <d v="2025-02-21T00:00:00"/>
    <x v="1"/>
    <x v="1"/>
    <x v="0"/>
    <x v="4"/>
    <s v="Basic"/>
    <n v="1"/>
    <n v="0"/>
    <n v="0"/>
    <n v="0"/>
    <x v="0"/>
    <n v="1"/>
    <n v="0"/>
    <m/>
    <n v="68.7"/>
  </r>
  <r>
    <s v="USR-101209"/>
    <d v="2025-04-08T00:00:00"/>
    <x v="1"/>
    <x v="2"/>
    <x v="2"/>
    <x v="1"/>
    <s v="Basic"/>
    <n v="0"/>
    <n v="0"/>
    <n v="0"/>
    <n v="0"/>
    <x v="0"/>
    <n v="0"/>
    <n v="0"/>
    <m/>
    <n v="34.700000000000003"/>
  </r>
  <r>
    <s v="USR-101210"/>
    <d v="2025-02-24T00:00:00"/>
    <x v="1"/>
    <x v="1"/>
    <x v="1"/>
    <x v="1"/>
    <s v="Basic"/>
    <n v="1"/>
    <n v="0"/>
    <n v="0"/>
    <n v="0"/>
    <x v="0"/>
    <n v="0"/>
    <n v="0"/>
    <m/>
    <n v="62"/>
  </r>
  <r>
    <s v="USR-101211"/>
    <d v="2025-05-29T00:00:00"/>
    <x v="1"/>
    <x v="3"/>
    <x v="1"/>
    <x v="1"/>
    <s v="Free"/>
    <n v="1"/>
    <n v="1"/>
    <n v="0"/>
    <n v="0"/>
    <x v="0"/>
    <n v="0"/>
    <n v="0"/>
    <m/>
    <n v="56"/>
  </r>
  <r>
    <s v="USR-101212"/>
    <d v="2025-05-30T00:00:00"/>
    <x v="1"/>
    <x v="0"/>
    <x v="1"/>
    <x v="0"/>
    <s v="Basic"/>
    <n v="1"/>
    <n v="0"/>
    <n v="0"/>
    <n v="0"/>
    <x v="0"/>
    <n v="1"/>
    <n v="0"/>
    <m/>
    <n v="65.8"/>
  </r>
  <r>
    <s v="USR-101213"/>
    <d v="2025-01-24T00:00:00"/>
    <x v="1"/>
    <x v="0"/>
    <x v="0"/>
    <x v="1"/>
    <s v="Premium"/>
    <n v="0"/>
    <n v="0"/>
    <n v="0"/>
    <n v="0"/>
    <x v="0"/>
    <n v="0"/>
    <n v="0"/>
    <m/>
    <n v="54.7"/>
  </r>
  <r>
    <s v="USR-101214"/>
    <d v="2025-05-12T00:00:00"/>
    <x v="1"/>
    <x v="3"/>
    <x v="1"/>
    <x v="1"/>
    <s v="Basic"/>
    <n v="1"/>
    <n v="1"/>
    <n v="0"/>
    <n v="0"/>
    <x v="0"/>
    <n v="0"/>
    <n v="0"/>
    <m/>
    <n v="64.099999999999994"/>
  </r>
  <r>
    <s v="USR-101215"/>
    <d v="2025-03-28T00:00:00"/>
    <x v="1"/>
    <x v="3"/>
    <x v="1"/>
    <x v="1"/>
    <s v="Basic"/>
    <n v="1"/>
    <n v="1"/>
    <n v="1"/>
    <n v="0"/>
    <x v="0"/>
    <n v="0"/>
    <n v="0"/>
    <m/>
    <n v="71.599999999999994"/>
  </r>
  <r>
    <s v="USR-101216"/>
    <d v="2025-04-14T00:00:00"/>
    <x v="1"/>
    <x v="0"/>
    <x v="1"/>
    <x v="3"/>
    <s v="Basic"/>
    <n v="1"/>
    <n v="0"/>
    <n v="0"/>
    <n v="0"/>
    <x v="0"/>
    <n v="0"/>
    <n v="0"/>
    <m/>
    <n v="78.400000000000006"/>
  </r>
  <r>
    <s v="USR-101217"/>
    <d v="2025-01-28T00:00:00"/>
    <x v="1"/>
    <x v="2"/>
    <x v="2"/>
    <x v="3"/>
    <s v="Basic"/>
    <n v="0"/>
    <n v="0"/>
    <n v="0"/>
    <n v="0"/>
    <x v="0"/>
    <n v="0"/>
    <n v="0"/>
    <m/>
    <n v="49.3"/>
  </r>
  <r>
    <s v="USR-101218"/>
    <d v="2025-05-21T00:00:00"/>
    <x v="1"/>
    <x v="0"/>
    <x v="1"/>
    <x v="1"/>
    <s v="Basic"/>
    <n v="0"/>
    <n v="0"/>
    <n v="0"/>
    <n v="0"/>
    <x v="0"/>
    <n v="0"/>
    <n v="0"/>
    <m/>
    <n v="52.8"/>
  </r>
  <r>
    <s v="USR-101219"/>
    <d v="2025-05-11T00:00:00"/>
    <x v="1"/>
    <x v="1"/>
    <x v="0"/>
    <x v="1"/>
    <s v="Free"/>
    <n v="0"/>
    <n v="0"/>
    <n v="0"/>
    <n v="0"/>
    <x v="0"/>
    <n v="0"/>
    <n v="0"/>
    <m/>
    <n v="58.5"/>
  </r>
  <r>
    <s v="USR-101220"/>
    <d v="2025-02-02T00:00:00"/>
    <x v="1"/>
    <x v="3"/>
    <x v="1"/>
    <x v="2"/>
    <s v="Free"/>
    <n v="1"/>
    <n v="0"/>
    <n v="0"/>
    <n v="0"/>
    <x v="0"/>
    <n v="0"/>
    <n v="0"/>
    <m/>
    <n v="55.9"/>
  </r>
  <r>
    <s v="USR-101221"/>
    <d v="2025-02-26T00:00:00"/>
    <x v="1"/>
    <x v="0"/>
    <x v="1"/>
    <x v="4"/>
    <s v="Free"/>
    <n v="1"/>
    <n v="1"/>
    <n v="1"/>
    <n v="1"/>
    <x v="60"/>
    <n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x v="61"/>
    <n v="0"/>
    <n v="0"/>
    <n v="4"/>
    <n v="58.5"/>
  </r>
  <r>
    <s v="USR-101223"/>
    <d v="2025-03-09T00:00:00"/>
    <x v="1"/>
    <x v="1"/>
    <x v="1"/>
    <x v="1"/>
    <s v="Free"/>
    <n v="0"/>
    <n v="0"/>
    <n v="0"/>
    <n v="0"/>
    <x v="0"/>
    <n v="0"/>
    <n v="0"/>
    <m/>
    <n v="63.5"/>
  </r>
  <r>
    <s v="USR-101224"/>
    <d v="2025-02-07T00:00:00"/>
    <x v="1"/>
    <x v="0"/>
    <x v="1"/>
    <x v="2"/>
    <s v="Basic"/>
    <n v="1"/>
    <n v="0"/>
    <n v="0"/>
    <n v="0"/>
    <x v="0"/>
    <n v="1"/>
    <n v="0"/>
    <m/>
    <n v="64.8"/>
  </r>
  <r>
    <s v="USR-101225"/>
    <d v="2025-01-31T00:00:00"/>
    <x v="1"/>
    <x v="1"/>
    <x v="1"/>
    <x v="4"/>
    <s v="Free"/>
    <n v="0"/>
    <n v="0"/>
    <n v="0"/>
    <n v="0"/>
    <x v="0"/>
    <n v="0"/>
    <n v="0"/>
    <m/>
    <n v="63.3"/>
  </r>
  <r>
    <s v="USR-101226"/>
    <d v="2025-02-14T00:00:00"/>
    <x v="1"/>
    <x v="0"/>
    <x v="2"/>
    <x v="2"/>
    <s v="Basic"/>
    <n v="1"/>
    <n v="1"/>
    <n v="1"/>
    <n v="1"/>
    <x v="62"/>
    <n v="0"/>
    <n v="0"/>
    <n v="8"/>
    <n v="83.7"/>
  </r>
  <r>
    <s v="USR-101227"/>
    <d v="2025-02-12T00:00:00"/>
    <x v="1"/>
    <x v="3"/>
    <x v="0"/>
    <x v="4"/>
    <s v="Basic"/>
    <n v="0"/>
    <n v="0"/>
    <n v="0"/>
    <n v="0"/>
    <x v="0"/>
    <n v="0"/>
    <n v="0"/>
    <m/>
    <n v="88.7"/>
  </r>
  <r>
    <s v="USR-101228"/>
    <d v="2025-03-23T00:00:00"/>
    <x v="1"/>
    <x v="2"/>
    <x v="3"/>
    <x v="2"/>
    <s v="Free"/>
    <n v="1"/>
    <n v="0"/>
    <n v="0"/>
    <n v="0"/>
    <x v="0"/>
    <n v="1"/>
    <n v="0"/>
    <m/>
    <n v="61.5"/>
  </r>
  <r>
    <s v="USR-101229"/>
    <d v="2025-03-18T00:00:00"/>
    <x v="1"/>
    <x v="1"/>
    <x v="1"/>
    <x v="2"/>
    <s v="Free"/>
    <n v="0"/>
    <n v="0"/>
    <n v="0"/>
    <n v="0"/>
    <x v="0"/>
    <n v="0"/>
    <n v="0"/>
    <m/>
    <n v="45.3"/>
  </r>
  <r>
    <s v="USR-101230"/>
    <d v="2025-05-17T00:00:00"/>
    <x v="1"/>
    <x v="0"/>
    <x v="1"/>
    <x v="4"/>
    <s v="Free"/>
    <n v="1"/>
    <n v="0"/>
    <n v="0"/>
    <n v="0"/>
    <x v="0"/>
    <n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x v="0"/>
    <n v="1"/>
    <n v="0"/>
    <m/>
    <n v="76.099999999999994"/>
  </r>
  <r>
    <s v="USR-101232"/>
    <d v="2025-03-30T00:00:00"/>
    <x v="1"/>
    <x v="2"/>
    <x v="1"/>
    <x v="1"/>
    <s v="Free"/>
    <n v="1"/>
    <n v="1"/>
    <n v="1"/>
    <n v="0"/>
    <x v="0"/>
    <n v="1"/>
    <n v="0"/>
    <m/>
    <n v="72.5"/>
  </r>
  <r>
    <s v="USR-101233"/>
    <d v="2025-02-25T00:00:00"/>
    <x v="1"/>
    <x v="2"/>
    <x v="0"/>
    <x v="1"/>
    <s v="Free"/>
    <n v="1"/>
    <n v="0"/>
    <n v="0"/>
    <n v="0"/>
    <x v="0"/>
    <n v="0"/>
    <n v="0"/>
    <m/>
    <n v="62.3"/>
  </r>
  <r>
    <s v="USR-101234"/>
    <d v="2025-03-01T00:00:00"/>
    <x v="1"/>
    <x v="2"/>
    <x v="0"/>
    <x v="4"/>
    <s v="Free"/>
    <n v="0"/>
    <n v="0"/>
    <n v="0"/>
    <n v="0"/>
    <x v="0"/>
    <n v="0"/>
    <n v="0"/>
    <m/>
    <n v="62.7"/>
  </r>
  <r>
    <s v="USR-101235"/>
    <d v="2025-05-27T00:00:00"/>
    <x v="1"/>
    <x v="0"/>
    <x v="1"/>
    <x v="2"/>
    <s v="Basic"/>
    <n v="0"/>
    <n v="0"/>
    <n v="0"/>
    <n v="0"/>
    <x v="0"/>
    <n v="0"/>
    <n v="0"/>
    <m/>
    <n v="82.4"/>
  </r>
  <r>
    <s v="USR-101236"/>
    <d v="2025-02-05T00:00:00"/>
    <x v="1"/>
    <x v="1"/>
    <x v="1"/>
    <x v="5"/>
    <s v="Premium"/>
    <n v="1"/>
    <n v="0"/>
    <n v="0"/>
    <n v="0"/>
    <x v="0"/>
    <n v="0"/>
    <n v="0"/>
    <m/>
    <n v="78.900000000000006"/>
  </r>
  <r>
    <s v="USR-101237"/>
    <d v="2025-01-25T00:00:00"/>
    <x v="1"/>
    <x v="1"/>
    <x v="0"/>
    <x v="0"/>
    <s v="Free"/>
    <n v="1"/>
    <n v="1"/>
    <n v="1"/>
    <n v="1"/>
    <x v="63"/>
    <n v="0"/>
    <n v="0"/>
    <n v="4"/>
    <n v="67.8"/>
  </r>
  <r>
    <s v="USR-101238"/>
    <d v="2025-04-10T00:00:00"/>
    <x v="1"/>
    <x v="2"/>
    <x v="1"/>
    <x v="1"/>
    <s v="Premium"/>
    <n v="1"/>
    <n v="0"/>
    <n v="0"/>
    <n v="0"/>
    <x v="0"/>
    <n v="0"/>
    <n v="0"/>
    <m/>
    <n v="68.8"/>
  </r>
  <r>
    <s v="USR-101239"/>
    <d v="2025-01-10T00:00:00"/>
    <x v="1"/>
    <x v="2"/>
    <x v="1"/>
    <x v="1"/>
    <s v="Premium"/>
    <n v="1"/>
    <n v="0"/>
    <n v="0"/>
    <n v="0"/>
    <x v="0"/>
    <n v="0"/>
    <n v="0"/>
    <m/>
    <n v="67.7"/>
  </r>
  <r>
    <s v="USR-101240"/>
    <d v="2025-02-23T00:00:00"/>
    <x v="1"/>
    <x v="2"/>
    <x v="1"/>
    <x v="5"/>
    <s v="Free"/>
    <n v="0"/>
    <n v="0"/>
    <n v="0"/>
    <n v="0"/>
    <x v="0"/>
    <n v="0"/>
    <n v="0"/>
    <m/>
    <n v="88"/>
  </r>
  <r>
    <s v="USR-101241"/>
    <d v="2025-05-23T00:00:00"/>
    <x v="1"/>
    <x v="1"/>
    <x v="0"/>
    <x v="1"/>
    <s v="Basic"/>
    <n v="1"/>
    <n v="1"/>
    <n v="0"/>
    <n v="0"/>
    <x v="0"/>
    <n v="0"/>
    <n v="0"/>
    <m/>
    <n v="80.099999999999994"/>
  </r>
  <r>
    <s v="USR-101242"/>
    <d v="2025-03-08T00:00:00"/>
    <x v="1"/>
    <x v="0"/>
    <x v="2"/>
    <x v="0"/>
    <s v="Basic"/>
    <n v="0"/>
    <n v="0"/>
    <n v="0"/>
    <n v="0"/>
    <x v="0"/>
    <n v="1"/>
    <n v="0"/>
    <m/>
    <n v="48.2"/>
  </r>
  <r>
    <s v="USR-101243"/>
    <d v="2025-05-21T00:00:00"/>
    <x v="1"/>
    <x v="2"/>
    <x v="1"/>
    <x v="1"/>
    <s v="Basic"/>
    <n v="1"/>
    <n v="0"/>
    <n v="0"/>
    <n v="0"/>
    <x v="0"/>
    <n v="0"/>
    <n v="0"/>
    <m/>
    <n v="52.7"/>
  </r>
  <r>
    <s v="USR-101244"/>
    <d v="2025-04-22T00:00:00"/>
    <x v="1"/>
    <x v="0"/>
    <x v="1"/>
    <x v="0"/>
    <s v="Basic"/>
    <n v="1"/>
    <n v="1"/>
    <n v="0"/>
    <n v="0"/>
    <x v="0"/>
    <n v="0"/>
    <n v="0"/>
    <m/>
    <n v="59.9"/>
  </r>
  <r>
    <s v="USR-101245"/>
    <d v="2025-04-16T00:00:00"/>
    <x v="1"/>
    <x v="0"/>
    <x v="1"/>
    <x v="0"/>
    <s v="Premium"/>
    <n v="1"/>
    <n v="0"/>
    <n v="0"/>
    <n v="0"/>
    <x v="0"/>
    <n v="0"/>
    <n v="0"/>
    <m/>
    <n v="49.5"/>
  </r>
  <r>
    <s v="USR-101246"/>
    <d v="2025-05-08T00:00:00"/>
    <x v="1"/>
    <x v="0"/>
    <x v="2"/>
    <x v="1"/>
    <s v="Free"/>
    <n v="1"/>
    <n v="0"/>
    <n v="0"/>
    <n v="0"/>
    <x v="0"/>
    <n v="0"/>
    <n v="0"/>
    <m/>
    <n v="41.5"/>
  </r>
  <r>
    <s v="USR-101247"/>
    <d v="2025-05-22T00:00:00"/>
    <x v="1"/>
    <x v="0"/>
    <x v="1"/>
    <x v="2"/>
    <s v="Basic"/>
    <n v="1"/>
    <n v="0"/>
    <n v="0"/>
    <n v="0"/>
    <x v="0"/>
    <n v="0"/>
    <n v="0"/>
    <m/>
    <n v="71.2"/>
  </r>
  <r>
    <s v="USR-101248"/>
    <d v="2025-03-21T00:00:00"/>
    <x v="1"/>
    <x v="0"/>
    <x v="1"/>
    <x v="3"/>
    <s v="Basic"/>
    <n v="1"/>
    <n v="1"/>
    <n v="1"/>
    <n v="0"/>
    <x v="0"/>
    <n v="0"/>
    <n v="0"/>
    <m/>
    <n v="65.8"/>
  </r>
  <r>
    <s v="USR-101249"/>
    <d v="2025-03-22T00:00:00"/>
    <x v="1"/>
    <x v="2"/>
    <x v="1"/>
    <x v="1"/>
    <s v="Basic"/>
    <n v="1"/>
    <n v="0"/>
    <n v="0"/>
    <n v="0"/>
    <x v="0"/>
    <n v="1"/>
    <n v="0"/>
    <m/>
    <n v="55.1"/>
  </r>
  <r>
    <s v="USR-101250"/>
    <d v="2025-01-10T00:00:00"/>
    <x v="1"/>
    <x v="1"/>
    <x v="0"/>
    <x v="4"/>
    <s v="Free"/>
    <n v="1"/>
    <n v="0"/>
    <n v="0"/>
    <n v="0"/>
    <x v="0"/>
    <n v="0"/>
    <n v="0"/>
    <m/>
    <n v="54.6"/>
  </r>
  <r>
    <s v="USR-101251"/>
    <d v="2025-02-01T00:00:00"/>
    <x v="1"/>
    <x v="2"/>
    <x v="1"/>
    <x v="1"/>
    <s v="Basic"/>
    <n v="1"/>
    <n v="1"/>
    <n v="1"/>
    <n v="1"/>
    <x v="64"/>
    <n v="0"/>
    <n v="0"/>
    <n v="4"/>
    <n v="81.900000000000006"/>
  </r>
  <r>
    <s v="USR-101252"/>
    <d v="2025-03-31T00:00:00"/>
    <x v="1"/>
    <x v="3"/>
    <x v="1"/>
    <x v="2"/>
    <s v="Basic"/>
    <n v="1"/>
    <n v="1"/>
    <n v="0"/>
    <n v="0"/>
    <x v="0"/>
    <n v="3"/>
    <n v="0"/>
    <m/>
    <n v="63.2"/>
  </r>
  <r>
    <s v="USR-101253"/>
    <d v="2025-04-25T00:00:00"/>
    <x v="1"/>
    <x v="0"/>
    <x v="1"/>
    <x v="2"/>
    <s v="Free"/>
    <n v="1"/>
    <n v="0"/>
    <n v="0"/>
    <n v="0"/>
    <x v="0"/>
    <n v="0"/>
    <n v="0"/>
    <m/>
    <n v="55.4"/>
  </r>
  <r>
    <s v="USR-101254"/>
    <d v="2025-05-02T00:00:00"/>
    <x v="1"/>
    <x v="1"/>
    <x v="1"/>
    <x v="4"/>
    <s v="Basic"/>
    <n v="0"/>
    <n v="0"/>
    <n v="0"/>
    <n v="0"/>
    <x v="0"/>
    <n v="0"/>
    <n v="0"/>
    <m/>
    <n v="87.5"/>
  </r>
  <r>
    <s v="USR-101255"/>
    <d v="2025-03-08T00:00:00"/>
    <x v="1"/>
    <x v="3"/>
    <x v="0"/>
    <x v="4"/>
    <s v="Basic"/>
    <n v="1"/>
    <n v="0"/>
    <n v="0"/>
    <n v="0"/>
    <x v="0"/>
    <n v="0"/>
    <n v="0"/>
    <m/>
    <n v="48.5"/>
  </r>
  <r>
    <s v="USR-101256"/>
    <d v="2025-01-27T00:00:00"/>
    <x v="1"/>
    <x v="2"/>
    <x v="0"/>
    <x v="5"/>
    <s v="Free"/>
    <n v="1"/>
    <n v="1"/>
    <n v="1"/>
    <n v="1"/>
    <x v="65"/>
    <n v="0"/>
    <n v="0"/>
    <n v="6"/>
    <n v="58.4"/>
  </r>
  <r>
    <s v="USR-101257"/>
    <d v="2025-04-27T00:00:00"/>
    <x v="1"/>
    <x v="1"/>
    <x v="1"/>
    <x v="2"/>
    <s v="Free"/>
    <n v="0"/>
    <n v="0"/>
    <n v="0"/>
    <n v="0"/>
    <x v="0"/>
    <n v="0"/>
    <n v="0"/>
    <m/>
    <n v="59.5"/>
  </r>
  <r>
    <s v="USR-101258"/>
    <d v="2025-01-16T00:00:00"/>
    <x v="1"/>
    <x v="1"/>
    <x v="0"/>
    <x v="2"/>
    <s v="Basic"/>
    <n v="1"/>
    <n v="0"/>
    <n v="0"/>
    <n v="0"/>
    <x v="0"/>
    <n v="0"/>
    <n v="0"/>
    <m/>
    <n v="93.2"/>
  </r>
  <r>
    <s v="USR-101259"/>
    <d v="2025-01-18T00:00:00"/>
    <x v="1"/>
    <x v="1"/>
    <x v="0"/>
    <x v="2"/>
    <s v="Basic"/>
    <n v="1"/>
    <n v="0"/>
    <n v="0"/>
    <n v="0"/>
    <x v="0"/>
    <n v="0"/>
    <n v="0"/>
    <m/>
    <n v="59"/>
  </r>
  <r>
    <s v="USR-101260"/>
    <d v="2025-03-21T00:00:00"/>
    <x v="1"/>
    <x v="0"/>
    <x v="1"/>
    <x v="1"/>
    <s v="Free"/>
    <n v="1"/>
    <n v="0"/>
    <n v="0"/>
    <n v="0"/>
    <x v="0"/>
    <n v="0"/>
    <n v="0"/>
    <m/>
    <n v="37"/>
  </r>
  <r>
    <s v="USR-101261"/>
    <d v="2025-04-02T00:00:00"/>
    <x v="1"/>
    <x v="0"/>
    <x v="0"/>
    <x v="2"/>
    <s v="Free"/>
    <n v="1"/>
    <n v="0"/>
    <n v="0"/>
    <n v="0"/>
    <x v="0"/>
    <n v="0"/>
    <n v="0"/>
    <m/>
    <n v="47.5"/>
  </r>
  <r>
    <s v="USR-101262"/>
    <d v="2025-02-16T00:00:00"/>
    <x v="1"/>
    <x v="1"/>
    <x v="0"/>
    <x v="1"/>
    <s v="Free"/>
    <n v="1"/>
    <n v="1"/>
    <n v="1"/>
    <n v="0"/>
    <x v="0"/>
    <n v="0"/>
    <n v="0"/>
    <m/>
    <n v="78.7"/>
  </r>
  <r>
    <s v="USR-101263"/>
    <d v="2025-02-18T00:00:00"/>
    <x v="1"/>
    <x v="0"/>
    <x v="1"/>
    <x v="4"/>
    <s v="Free"/>
    <n v="1"/>
    <n v="0"/>
    <n v="0"/>
    <n v="0"/>
    <x v="0"/>
    <n v="0"/>
    <n v="0"/>
    <m/>
    <n v="49.6"/>
  </r>
  <r>
    <s v="USR-101264"/>
    <d v="2025-01-09T00:00:00"/>
    <x v="1"/>
    <x v="2"/>
    <x v="1"/>
    <x v="1"/>
    <s v="Free"/>
    <n v="1"/>
    <n v="0"/>
    <n v="0"/>
    <n v="0"/>
    <x v="0"/>
    <n v="0"/>
    <n v="0"/>
    <m/>
    <n v="58"/>
  </r>
  <r>
    <s v="USR-101265"/>
    <d v="2025-02-18T00:00:00"/>
    <x v="1"/>
    <x v="0"/>
    <x v="0"/>
    <x v="2"/>
    <s v="Free"/>
    <n v="1"/>
    <n v="0"/>
    <n v="0"/>
    <n v="0"/>
    <x v="0"/>
    <n v="1"/>
    <n v="0"/>
    <m/>
    <n v="54.4"/>
  </r>
  <r>
    <s v="USR-101266"/>
    <d v="2025-01-10T00:00:00"/>
    <x v="1"/>
    <x v="2"/>
    <x v="1"/>
    <x v="3"/>
    <s v="Free"/>
    <n v="0"/>
    <n v="0"/>
    <n v="0"/>
    <n v="0"/>
    <x v="0"/>
    <n v="0"/>
    <n v="0"/>
    <m/>
    <n v="33.700000000000003"/>
  </r>
  <r>
    <s v="USR-101267"/>
    <d v="2025-03-08T00:00:00"/>
    <x v="1"/>
    <x v="1"/>
    <x v="1"/>
    <x v="0"/>
    <s v="Free"/>
    <n v="1"/>
    <n v="0"/>
    <n v="0"/>
    <n v="0"/>
    <x v="0"/>
    <n v="0"/>
    <n v="0"/>
    <m/>
    <n v="72.7"/>
  </r>
  <r>
    <s v="USR-101268"/>
    <d v="2025-04-16T00:00:00"/>
    <x v="1"/>
    <x v="2"/>
    <x v="0"/>
    <x v="2"/>
    <s v="Basic"/>
    <n v="0"/>
    <n v="0"/>
    <n v="0"/>
    <n v="0"/>
    <x v="0"/>
    <n v="0"/>
    <n v="0"/>
    <m/>
    <n v="64.7"/>
  </r>
  <r>
    <s v="USR-101269"/>
    <d v="2025-02-19T00:00:00"/>
    <x v="1"/>
    <x v="1"/>
    <x v="0"/>
    <x v="2"/>
    <s v="Premium"/>
    <n v="0"/>
    <n v="0"/>
    <n v="0"/>
    <n v="0"/>
    <x v="0"/>
    <n v="1"/>
    <n v="0"/>
    <m/>
    <n v="48.6"/>
  </r>
  <r>
    <s v="USR-101270"/>
    <d v="2025-03-16T00:00:00"/>
    <x v="1"/>
    <x v="2"/>
    <x v="0"/>
    <x v="4"/>
    <s v="Free"/>
    <n v="1"/>
    <n v="1"/>
    <n v="0"/>
    <n v="0"/>
    <x v="0"/>
    <n v="0"/>
    <n v="0"/>
    <m/>
    <n v="66.2"/>
  </r>
  <r>
    <s v="USR-101271"/>
    <d v="2025-02-03T00:00:00"/>
    <x v="1"/>
    <x v="1"/>
    <x v="3"/>
    <x v="3"/>
    <s v="Basic"/>
    <n v="1"/>
    <n v="0"/>
    <n v="0"/>
    <n v="0"/>
    <x v="0"/>
    <n v="1"/>
    <n v="0"/>
    <m/>
    <n v="60.7"/>
  </r>
  <r>
    <s v="USR-101272"/>
    <d v="2025-03-12T00:00:00"/>
    <x v="1"/>
    <x v="1"/>
    <x v="1"/>
    <x v="2"/>
    <s v="Basic"/>
    <n v="1"/>
    <n v="0"/>
    <n v="0"/>
    <n v="0"/>
    <x v="0"/>
    <n v="0"/>
    <n v="0"/>
    <m/>
    <n v="36.5"/>
  </r>
  <r>
    <s v="USR-101273"/>
    <d v="2025-05-09T00:00:00"/>
    <x v="1"/>
    <x v="1"/>
    <x v="1"/>
    <x v="4"/>
    <s v="Free"/>
    <n v="1"/>
    <n v="1"/>
    <n v="1"/>
    <n v="0"/>
    <x v="0"/>
    <n v="3"/>
    <n v="0"/>
    <m/>
    <n v="69.7"/>
  </r>
  <r>
    <s v="USR-101274"/>
    <d v="2025-01-19T00:00:00"/>
    <x v="1"/>
    <x v="3"/>
    <x v="0"/>
    <x v="4"/>
    <s v="Premium"/>
    <n v="1"/>
    <n v="0"/>
    <n v="0"/>
    <n v="0"/>
    <x v="0"/>
    <n v="0"/>
    <n v="0"/>
    <m/>
    <n v="81.8"/>
  </r>
  <r>
    <s v="USR-101275"/>
    <d v="2025-01-24T00:00:00"/>
    <x v="1"/>
    <x v="1"/>
    <x v="1"/>
    <x v="3"/>
    <s v="Free"/>
    <n v="1"/>
    <n v="1"/>
    <n v="1"/>
    <n v="0"/>
    <x v="0"/>
    <n v="1"/>
    <n v="0"/>
    <m/>
    <n v="78.3"/>
  </r>
  <r>
    <s v="USR-101276"/>
    <d v="2025-03-03T00:00:00"/>
    <x v="1"/>
    <x v="2"/>
    <x v="1"/>
    <x v="3"/>
    <s v="Free"/>
    <n v="1"/>
    <n v="1"/>
    <n v="0"/>
    <n v="0"/>
    <x v="0"/>
    <n v="0"/>
    <n v="0"/>
    <m/>
    <n v="79.400000000000006"/>
  </r>
  <r>
    <s v="USR-101277"/>
    <d v="2025-05-27T00:00:00"/>
    <x v="1"/>
    <x v="0"/>
    <x v="0"/>
    <x v="3"/>
    <s v="Free"/>
    <n v="1"/>
    <n v="1"/>
    <n v="1"/>
    <n v="0"/>
    <x v="0"/>
    <n v="0"/>
    <n v="0"/>
    <m/>
    <n v="54.9"/>
  </r>
  <r>
    <s v="USR-101278"/>
    <d v="2025-04-23T00:00:00"/>
    <x v="1"/>
    <x v="1"/>
    <x v="0"/>
    <x v="1"/>
    <s v="Basic"/>
    <n v="1"/>
    <n v="0"/>
    <n v="0"/>
    <n v="0"/>
    <x v="0"/>
    <n v="0"/>
    <n v="0"/>
    <m/>
    <n v="54.9"/>
  </r>
  <r>
    <s v="USR-101279"/>
    <d v="2025-02-10T00:00:00"/>
    <x v="1"/>
    <x v="2"/>
    <x v="0"/>
    <x v="4"/>
    <s v="Free"/>
    <n v="0"/>
    <n v="0"/>
    <n v="0"/>
    <n v="0"/>
    <x v="0"/>
    <n v="0"/>
    <n v="0"/>
    <m/>
    <n v="28.7"/>
  </r>
  <r>
    <s v="USR-101280"/>
    <d v="2025-02-11T00:00:00"/>
    <x v="1"/>
    <x v="0"/>
    <x v="1"/>
    <x v="1"/>
    <s v="Free"/>
    <n v="0"/>
    <n v="0"/>
    <n v="0"/>
    <n v="0"/>
    <x v="0"/>
    <n v="0"/>
    <n v="0"/>
    <m/>
    <n v="68.8"/>
  </r>
  <r>
    <s v="USR-101281"/>
    <d v="2025-01-21T00:00:00"/>
    <x v="1"/>
    <x v="2"/>
    <x v="0"/>
    <x v="2"/>
    <s v="Free"/>
    <n v="1"/>
    <n v="1"/>
    <n v="1"/>
    <n v="0"/>
    <x v="0"/>
    <n v="0"/>
    <n v="0"/>
    <m/>
    <n v="43.5"/>
  </r>
  <r>
    <s v="USR-101282"/>
    <d v="2025-02-02T00:00:00"/>
    <x v="1"/>
    <x v="1"/>
    <x v="0"/>
    <x v="4"/>
    <s v="Free"/>
    <n v="1"/>
    <n v="1"/>
    <n v="0"/>
    <n v="0"/>
    <x v="0"/>
    <n v="0"/>
    <n v="0"/>
    <m/>
    <n v="62.6"/>
  </r>
  <r>
    <s v="USR-101283"/>
    <d v="2025-02-02T00:00:00"/>
    <x v="1"/>
    <x v="1"/>
    <x v="1"/>
    <x v="1"/>
    <s v="Free"/>
    <n v="0"/>
    <n v="0"/>
    <n v="0"/>
    <n v="0"/>
    <x v="0"/>
    <n v="1"/>
    <n v="0"/>
    <m/>
    <n v="54.1"/>
  </r>
  <r>
    <s v="USR-101284"/>
    <d v="2025-02-26T00:00:00"/>
    <x v="1"/>
    <x v="1"/>
    <x v="2"/>
    <x v="4"/>
    <s v="Free"/>
    <n v="1"/>
    <n v="1"/>
    <n v="1"/>
    <n v="0"/>
    <x v="0"/>
    <n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x v="0"/>
    <n v="0"/>
    <n v="0"/>
    <m/>
    <n v="69.5"/>
  </r>
  <r>
    <s v="USR-101286"/>
    <d v="2025-03-11T00:00:00"/>
    <x v="1"/>
    <x v="0"/>
    <x v="0"/>
    <x v="1"/>
    <s v="Basic"/>
    <n v="0"/>
    <n v="0"/>
    <n v="0"/>
    <n v="0"/>
    <x v="0"/>
    <n v="2"/>
    <n v="0"/>
    <m/>
    <n v="46.6"/>
  </r>
  <r>
    <s v="USR-101287"/>
    <d v="2025-05-08T00:00:00"/>
    <x v="1"/>
    <x v="3"/>
    <x v="1"/>
    <x v="1"/>
    <s v="Premium"/>
    <n v="1"/>
    <n v="0"/>
    <n v="0"/>
    <n v="0"/>
    <x v="0"/>
    <n v="1"/>
    <n v="0"/>
    <m/>
    <n v="54.9"/>
  </r>
  <r>
    <s v="USR-101288"/>
    <d v="2025-03-10T00:00:00"/>
    <x v="1"/>
    <x v="2"/>
    <x v="0"/>
    <x v="1"/>
    <s v="Free"/>
    <n v="0"/>
    <n v="0"/>
    <n v="0"/>
    <n v="0"/>
    <x v="0"/>
    <n v="0"/>
    <n v="0"/>
    <m/>
    <n v="100"/>
  </r>
  <r>
    <s v="USR-101289"/>
    <d v="2025-04-16T00:00:00"/>
    <x v="1"/>
    <x v="2"/>
    <x v="0"/>
    <x v="2"/>
    <s v="Free"/>
    <n v="1"/>
    <n v="1"/>
    <n v="1"/>
    <n v="0"/>
    <x v="0"/>
    <n v="1"/>
    <n v="0"/>
    <m/>
    <n v="80.5"/>
  </r>
  <r>
    <s v="USR-101290"/>
    <d v="2025-03-01T00:00:00"/>
    <x v="1"/>
    <x v="1"/>
    <x v="2"/>
    <x v="1"/>
    <s v="Basic"/>
    <n v="1"/>
    <n v="0"/>
    <n v="0"/>
    <n v="0"/>
    <x v="0"/>
    <n v="0"/>
    <n v="0"/>
    <m/>
    <n v="51.2"/>
  </r>
  <r>
    <s v="USR-101291"/>
    <d v="2025-01-18T00:00:00"/>
    <x v="1"/>
    <x v="3"/>
    <x v="0"/>
    <x v="1"/>
    <s v="Premium"/>
    <n v="1"/>
    <n v="0"/>
    <n v="0"/>
    <n v="0"/>
    <x v="0"/>
    <n v="0"/>
    <n v="0"/>
    <m/>
    <n v="42.5"/>
  </r>
  <r>
    <s v="USR-101292"/>
    <d v="2025-03-30T00:00:00"/>
    <x v="1"/>
    <x v="0"/>
    <x v="1"/>
    <x v="2"/>
    <s v="Free"/>
    <n v="0"/>
    <n v="0"/>
    <n v="0"/>
    <n v="0"/>
    <x v="0"/>
    <n v="0"/>
    <n v="0"/>
    <m/>
    <n v="72.5"/>
  </r>
  <r>
    <s v="USR-101293"/>
    <d v="2025-05-26T00:00:00"/>
    <x v="1"/>
    <x v="1"/>
    <x v="1"/>
    <x v="4"/>
    <s v="Premium"/>
    <n v="0"/>
    <n v="0"/>
    <n v="0"/>
    <n v="0"/>
    <x v="0"/>
    <n v="0"/>
    <n v="0"/>
    <m/>
    <n v="74.400000000000006"/>
  </r>
  <r>
    <s v="USR-101294"/>
    <d v="2025-03-19T00:00:00"/>
    <x v="1"/>
    <x v="2"/>
    <x v="0"/>
    <x v="4"/>
    <s v="Free"/>
    <n v="0"/>
    <n v="0"/>
    <n v="0"/>
    <n v="0"/>
    <x v="0"/>
    <n v="0"/>
    <n v="0"/>
    <m/>
    <n v="78.400000000000006"/>
  </r>
  <r>
    <s v="USR-101295"/>
    <d v="2025-03-28T00:00:00"/>
    <x v="1"/>
    <x v="0"/>
    <x v="0"/>
    <x v="3"/>
    <s v="Free"/>
    <n v="1"/>
    <n v="0"/>
    <n v="0"/>
    <n v="0"/>
    <x v="0"/>
    <n v="0"/>
    <n v="0"/>
    <m/>
    <n v="71.5"/>
  </r>
  <r>
    <s v="USR-101296"/>
    <d v="2025-05-28T00:00:00"/>
    <x v="1"/>
    <x v="3"/>
    <x v="0"/>
    <x v="4"/>
    <s v="Free"/>
    <n v="1"/>
    <n v="0"/>
    <n v="0"/>
    <n v="0"/>
    <x v="0"/>
    <n v="0"/>
    <n v="0"/>
    <m/>
    <n v="66.7"/>
  </r>
  <r>
    <s v="USR-101297"/>
    <d v="2025-05-31T00:00:00"/>
    <x v="1"/>
    <x v="3"/>
    <x v="0"/>
    <x v="3"/>
    <s v="Premium"/>
    <n v="1"/>
    <n v="1"/>
    <n v="1"/>
    <n v="1"/>
    <x v="66"/>
    <n v="0"/>
    <n v="0"/>
    <n v="7"/>
    <n v="60.4"/>
  </r>
  <r>
    <s v="USR-101298"/>
    <d v="2025-05-10T00:00:00"/>
    <x v="1"/>
    <x v="0"/>
    <x v="1"/>
    <x v="3"/>
    <s v="Free"/>
    <n v="0"/>
    <n v="0"/>
    <n v="0"/>
    <n v="0"/>
    <x v="0"/>
    <n v="1"/>
    <n v="0"/>
    <m/>
    <n v="72.900000000000006"/>
  </r>
  <r>
    <s v="USR-101299"/>
    <d v="2025-05-17T00:00:00"/>
    <x v="1"/>
    <x v="1"/>
    <x v="1"/>
    <x v="1"/>
    <s v="Free"/>
    <n v="0"/>
    <n v="0"/>
    <n v="0"/>
    <n v="0"/>
    <x v="0"/>
    <n v="3"/>
    <n v="0"/>
    <m/>
    <m/>
  </r>
  <r>
    <s v="USR-101300"/>
    <d v="2025-01-18T00:00:00"/>
    <x v="1"/>
    <x v="3"/>
    <x v="1"/>
    <x v="1"/>
    <s v="Premium"/>
    <n v="1"/>
    <n v="0"/>
    <n v="0"/>
    <n v="0"/>
    <x v="0"/>
    <n v="0"/>
    <n v="0"/>
    <m/>
    <n v="55.2"/>
  </r>
  <r>
    <s v="USR-101301"/>
    <d v="2025-05-04T00:00:00"/>
    <x v="1"/>
    <x v="1"/>
    <x v="1"/>
    <x v="4"/>
    <s v="Free"/>
    <n v="1"/>
    <n v="0"/>
    <n v="0"/>
    <n v="0"/>
    <x v="0"/>
    <n v="0"/>
    <n v="0"/>
    <m/>
    <n v="67.8"/>
  </r>
  <r>
    <s v="USR-101302"/>
    <d v="2025-03-25T00:00:00"/>
    <x v="1"/>
    <x v="0"/>
    <x v="1"/>
    <x v="1"/>
    <s v="Free"/>
    <n v="1"/>
    <n v="0"/>
    <n v="0"/>
    <n v="0"/>
    <x v="0"/>
    <n v="2"/>
    <n v="0"/>
    <m/>
    <n v="70"/>
  </r>
  <r>
    <s v="USR-101303"/>
    <d v="2025-02-27T00:00:00"/>
    <x v="1"/>
    <x v="0"/>
    <x v="1"/>
    <x v="4"/>
    <s v="Basic"/>
    <n v="1"/>
    <n v="1"/>
    <n v="1"/>
    <n v="0"/>
    <x v="0"/>
    <n v="0"/>
    <n v="0"/>
    <m/>
    <n v="51.1"/>
  </r>
  <r>
    <s v="USR-101304"/>
    <d v="2025-01-14T00:00:00"/>
    <x v="1"/>
    <x v="1"/>
    <x v="1"/>
    <x v="2"/>
    <s v="Basic"/>
    <n v="1"/>
    <n v="1"/>
    <n v="1"/>
    <n v="0"/>
    <x v="0"/>
    <n v="0"/>
    <n v="0"/>
    <m/>
    <n v="57"/>
  </r>
  <r>
    <s v="USR-101305"/>
    <d v="2025-04-11T00:00:00"/>
    <x v="1"/>
    <x v="2"/>
    <x v="1"/>
    <x v="4"/>
    <s v="Free"/>
    <n v="0"/>
    <n v="0"/>
    <n v="0"/>
    <n v="0"/>
    <x v="0"/>
    <n v="1"/>
    <n v="0"/>
    <m/>
    <n v="47.1"/>
  </r>
  <r>
    <s v="USR-101306"/>
    <d v="2025-03-26T00:00:00"/>
    <x v="1"/>
    <x v="2"/>
    <x v="0"/>
    <x v="4"/>
    <s v="Basic"/>
    <n v="0"/>
    <n v="0"/>
    <n v="0"/>
    <n v="0"/>
    <x v="0"/>
    <n v="0"/>
    <n v="0"/>
    <m/>
    <n v="30.7"/>
  </r>
  <r>
    <s v="USR-101307"/>
    <d v="2025-02-12T00:00:00"/>
    <x v="1"/>
    <x v="1"/>
    <x v="0"/>
    <x v="4"/>
    <s v="Free"/>
    <n v="1"/>
    <n v="0"/>
    <n v="0"/>
    <n v="0"/>
    <x v="0"/>
    <n v="0"/>
    <n v="0"/>
    <m/>
    <n v="57.3"/>
  </r>
  <r>
    <s v="USR-101308"/>
    <d v="2025-02-18T00:00:00"/>
    <x v="1"/>
    <x v="1"/>
    <x v="2"/>
    <x v="2"/>
    <s v="Basic"/>
    <n v="1"/>
    <n v="0"/>
    <n v="0"/>
    <n v="0"/>
    <x v="0"/>
    <n v="0"/>
    <n v="0"/>
    <m/>
    <n v="70"/>
  </r>
  <r>
    <s v="USR-101309"/>
    <d v="2025-05-25T00:00:00"/>
    <x v="1"/>
    <x v="2"/>
    <x v="0"/>
    <x v="4"/>
    <s v="Free"/>
    <n v="1"/>
    <n v="1"/>
    <n v="1"/>
    <n v="0"/>
    <x v="0"/>
    <n v="0"/>
    <n v="0"/>
    <m/>
    <n v="59.7"/>
  </r>
  <r>
    <s v="USR-101310"/>
    <d v="2025-05-23T00:00:00"/>
    <x v="1"/>
    <x v="2"/>
    <x v="0"/>
    <x v="2"/>
    <s v="Basic"/>
    <n v="1"/>
    <n v="0"/>
    <n v="0"/>
    <n v="0"/>
    <x v="0"/>
    <n v="0"/>
    <n v="0"/>
    <m/>
    <n v="68.8"/>
  </r>
  <r>
    <s v="USR-101311"/>
    <d v="2025-01-16T00:00:00"/>
    <x v="1"/>
    <x v="0"/>
    <x v="0"/>
    <x v="1"/>
    <s v="Free"/>
    <n v="1"/>
    <n v="1"/>
    <n v="1"/>
    <n v="1"/>
    <x v="67"/>
    <n v="0"/>
    <n v="0"/>
    <n v="9"/>
    <n v="88.3"/>
  </r>
  <r>
    <s v="USR-101312"/>
    <d v="2025-01-19T00:00:00"/>
    <x v="1"/>
    <x v="1"/>
    <x v="0"/>
    <x v="0"/>
    <s v="Basic"/>
    <n v="0"/>
    <n v="0"/>
    <n v="0"/>
    <n v="0"/>
    <x v="0"/>
    <n v="0"/>
    <n v="0"/>
    <m/>
    <n v="83.4"/>
  </r>
  <r>
    <s v="USR-101313"/>
    <d v="2025-05-18T00:00:00"/>
    <x v="1"/>
    <x v="3"/>
    <x v="1"/>
    <x v="3"/>
    <s v="Free"/>
    <n v="0"/>
    <n v="0"/>
    <n v="0"/>
    <n v="0"/>
    <x v="0"/>
    <n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x v="0"/>
    <n v="0"/>
    <n v="0"/>
    <m/>
    <n v="91.6"/>
  </r>
  <r>
    <s v="USR-101315"/>
    <d v="2025-01-08T00:00:00"/>
    <x v="1"/>
    <x v="2"/>
    <x v="2"/>
    <x v="5"/>
    <s v="Premium"/>
    <n v="1"/>
    <n v="1"/>
    <n v="1"/>
    <n v="0"/>
    <x v="0"/>
    <n v="1"/>
    <n v="0"/>
    <m/>
    <n v="61.5"/>
  </r>
  <r>
    <s v="USR-101316"/>
    <d v="2025-02-19T00:00:00"/>
    <x v="1"/>
    <x v="0"/>
    <x v="1"/>
    <x v="1"/>
    <s v="Premium"/>
    <n v="0"/>
    <n v="0"/>
    <n v="0"/>
    <n v="0"/>
    <x v="0"/>
    <n v="0"/>
    <n v="0"/>
    <m/>
    <m/>
  </r>
  <r>
    <s v="USR-101317"/>
    <d v="2025-02-10T00:00:00"/>
    <x v="1"/>
    <x v="3"/>
    <x v="1"/>
    <x v="1"/>
    <s v="Free"/>
    <n v="1"/>
    <n v="0"/>
    <n v="0"/>
    <n v="0"/>
    <x v="0"/>
    <n v="0"/>
    <n v="0"/>
    <m/>
    <n v="32.6"/>
  </r>
  <r>
    <s v="USR-101318"/>
    <d v="2025-04-13T00:00:00"/>
    <x v="1"/>
    <x v="3"/>
    <x v="1"/>
    <x v="2"/>
    <s v="Free"/>
    <n v="1"/>
    <n v="0"/>
    <n v="0"/>
    <n v="0"/>
    <x v="0"/>
    <n v="0"/>
    <n v="0"/>
    <m/>
    <n v="73.900000000000006"/>
  </r>
  <r>
    <s v="USR-101319"/>
    <d v="2025-05-20T00:00:00"/>
    <x v="1"/>
    <x v="2"/>
    <x v="1"/>
    <x v="1"/>
    <s v="Free"/>
    <n v="1"/>
    <n v="1"/>
    <n v="1"/>
    <n v="1"/>
    <x v="68"/>
    <n v="0"/>
    <n v="0"/>
    <n v="9"/>
    <n v="99.9"/>
  </r>
  <r>
    <s v="USR-101320"/>
    <d v="2025-05-13T00:00:00"/>
    <x v="1"/>
    <x v="3"/>
    <x v="1"/>
    <x v="2"/>
    <s v="Basic"/>
    <n v="1"/>
    <n v="1"/>
    <n v="0"/>
    <n v="0"/>
    <x v="0"/>
    <n v="1"/>
    <n v="0"/>
    <m/>
    <n v="62.4"/>
  </r>
  <r>
    <s v="USR-101321"/>
    <d v="2025-05-28T00:00:00"/>
    <x v="1"/>
    <x v="3"/>
    <x v="0"/>
    <x v="2"/>
    <s v="Basic"/>
    <n v="1"/>
    <n v="0"/>
    <n v="0"/>
    <n v="0"/>
    <x v="0"/>
    <n v="0"/>
    <n v="0"/>
    <m/>
    <n v="46.1"/>
  </r>
  <r>
    <s v="USR-101322"/>
    <d v="2025-03-19T00:00:00"/>
    <x v="1"/>
    <x v="1"/>
    <x v="1"/>
    <x v="1"/>
    <s v="Free"/>
    <n v="1"/>
    <n v="1"/>
    <n v="1"/>
    <n v="1"/>
    <x v="69"/>
    <n v="0"/>
    <n v="0"/>
    <n v="3"/>
    <n v="73.900000000000006"/>
  </r>
  <r>
    <s v="USR-101323"/>
    <d v="2025-02-03T00:00:00"/>
    <x v="1"/>
    <x v="0"/>
    <x v="1"/>
    <x v="0"/>
    <s v="Premium"/>
    <n v="0"/>
    <n v="0"/>
    <n v="0"/>
    <n v="0"/>
    <x v="0"/>
    <n v="0"/>
    <n v="0"/>
    <m/>
    <n v="90"/>
  </r>
  <r>
    <s v="USR-101324"/>
    <d v="2025-02-26T00:00:00"/>
    <x v="1"/>
    <x v="3"/>
    <x v="1"/>
    <x v="0"/>
    <s v="Basic"/>
    <n v="1"/>
    <n v="0"/>
    <n v="0"/>
    <n v="0"/>
    <x v="0"/>
    <n v="1"/>
    <n v="0"/>
    <m/>
    <n v="68.8"/>
  </r>
  <r>
    <s v="USR-101325"/>
    <d v="2025-01-26T00:00:00"/>
    <x v="1"/>
    <x v="1"/>
    <x v="1"/>
    <x v="2"/>
    <s v="Free"/>
    <n v="1"/>
    <n v="0"/>
    <n v="0"/>
    <n v="0"/>
    <x v="0"/>
    <n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x v="0"/>
    <n v="0"/>
    <n v="0"/>
    <m/>
    <n v="49.7"/>
  </r>
  <r>
    <s v="USR-101327"/>
    <d v="2025-02-02T00:00:00"/>
    <x v="1"/>
    <x v="3"/>
    <x v="1"/>
    <x v="2"/>
    <s v="Basic"/>
    <n v="0"/>
    <n v="0"/>
    <n v="0"/>
    <n v="0"/>
    <x v="0"/>
    <n v="0"/>
    <n v="0"/>
    <m/>
    <n v="67.900000000000006"/>
  </r>
  <r>
    <s v="USR-101328"/>
    <d v="2025-04-30T00:00:00"/>
    <x v="1"/>
    <x v="1"/>
    <x v="1"/>
    <x v="5"/>
    <s v="Basic"/>
    <n v="0"/>
    <n v="0"/>
    <n v="0"/>
    <n v="0"/>
    <x v="0"/>
    <n v="0"/>
    <n v="0"/>
    <m/>
    <n v="66.900000000000006"/>
  </r>
  <r>
    <s v="USR-101329"/>
    <d v="2025-03-29T00:00:00"/>
    <x v="1"/>
    <x v="2"/>
    <x v="1"/>
    <x v="1"/>
    <s v="Free"/>
    <n v="0"/>
    <n v="0"/>
    <n v="0"/>
    <n v="0"/>
    <x v="0"/>
    <n v="0"/>
    <n v="0"/>
    <m/>
    <n v="46.1"/>
  </r>
  <r>
    <s v="USR-101330"/>
    <d v="2025-04-09T00:00:00"/>
    <x v="1"/>
    <x v="1"/>
    <x v="0"/>
    <x v="3"/>
    <s v="Premium"/>
    <n v="1"/>
    <n v="0"/>
    <n v="0"/>
    <n v="0"/>
    <x v="0"/>
    <n v="0"/>
    <n v="0"/>
    <m/>
    <n v="85.6"/>
  </r>
  <r>
    <s v="USR-101331"/>
    <d v="2025-01-22T00:00:00"/>
    <x v="1"/>
    <x v="3"/>
    <x v="2"/>
    <x v="1"/>
    <s v="Free"/>
    <n v="0"/>
    <n v="0"/>
    <n v="0"/>
    <n v="0"/>
    <x v="0"/>
    <n v="0"/>
    <n v="0"/>
    <m/>
    <n v="39.6"/>
  </r>
  <r>
    <s v="USR-101332"/>
    <d v="2025-01-27T00:00:00"/>
    <x v="1"/>
    <x v="3"/>
    <x v="1"/>
    <x v="1"/>
    <s v="Basic"/>
    <n v="1"/>
    <n v="0"/>
    <n v="0"/>
    <n v="0"/>
    <x v="0"/>
    <n v="0"/>
    <n v="0"/>
    <m/>
    <n v="52.5"/>
  </r>
  <r>
    <s v="USR-101333"/>
    <d v="2025-01-22T00:00:00"/>
    <x v="1"/>
    <x v="2"/>
    <x v="1"/>
    <x v="4"/>
    <s v="Premium"/>
    <n v="1"/>
    <n v="0"/>
    <n v="0"/>
    <n v="0"/>
    <x v="0"/>
    <n v="0"/>
    <n v="0"/>
    <m/>
    <n v="73.5"/>
  </r>
  <r>
    <s v="USR-101334"/>
    <d v="2025-01-06T00:00:00"/>
    <x v="1"/>
    <x v="1"/>
    <x v="0"/>
    <x v="2"/>
    <s v="Free"/>
    <n v="0"/>
    <n v="0"/>
    <n v="0"/>
    <n v="0"/>
    <x v="0"/>
    <n v="0"/>
    <n v="0"/>
    <m/>
    <n v="62.5"/>
  </r>
  <r>
    <s v="USR-101335"/>
    <d v="2025-04-16T00:00:00"/>
    <x v="1"/>
    <x v="3"/>
    <x v="3"/>
    <x v="1"/>
    <s v="Free"/>
    <n v="1"/>
    <n v="0"/>
    <n v="0"/>
    <n v="0"/>
    <x v="0"/>
    <n v="0"/>
    <n v="0"/>
    <m/>
    <n v="76.900000000000006"/>
  </r>
  <r>
    <s v="USR-101336"/>
    <d v="2025-04-14T00:00:00"/>
    <x v="1"/>
    <x v="3"/>
    <x v="1"/>
    <x v="1"/>
    <s v="Free"/>
    <n v="1"/>
    <n v="0"/>
    <n v="0"/>
    <n v="0"/>
    <x v="0"/>
    <n v="0"/>
    <n v="0"/>
    <m/>
    <n v="51.4"/>
  </r>
  <r>
    <s v="USR-101337"/>
    <d v="2025-02-22T00:00:00"/>
    <x v="1"/>
    <x v="1"/>
    <x v="1"/>
    <x v="2"/>
    <s v="Basic"/>
    <n v="1"/>
    <n v="0"/>
    <n v="0"/>
    <n v="0"/>
    <x v="0"/>
    <n v="0"/>
    <n v="0"/>
    <m/>
    <n v="59.3"/>
  </r>
  <r>
    <s v="USR-101338"/>
    <d v="2025-03-09T00:00:00"/>
    <x v="1"/>
    <x v="0"/>
    <x v="1"/>
    <x v="1"/>
    <s v="Basic"/>
    <n v="0"/>
    <n v="0"/>
    <n v="0"/>
    <n v="0"/>
    <x v="0"/>
    <n v="0"/>
    <n v="0"/>
    <m/>
    <n v="74.900000000000006"/>
  </r>
  <r>
    <s v="USR-101339"/>
    <d v="2025-04-20T00:00:00"/>
    <x v="1"/>
    <x v="1"/>
    <x v="0"/>
    <x v="1"/>
    <s v="Free"/>
    <n v="1"/>
    <n v="0"/>
    <n v="0"/>
    <n v="0"/>
    <x v="0"/>
    <n v="0"/>
    <n v="0"/>
    <m/>
    <n v="67"/>
  </r>
  <r>
    <s v="USR-101340"/>
    <d v="2025-03-10T00:00:00"/>
    <x v="1"/>
    <x v="3"/>
    <x v="1"/>
    <x v="0"/>
    <s v="Free"/>
    <n v="0"/>
    <n v="0"/>
    <n v="0"/>
    <n v="0"/>
    <x v="0"/>
    <n v="0"/>
    <n v="0"/>
    <m/>
    <n v="63.6"/>
  </r>
  <r>
    <s v="USR-101341"/>
    <d v="2025-02-21T00:00:00"/>
    <x v="1"/>
    <x v="3"/>
    <x v="1"/>
    <x v="0"/>
    <s v="Free"/>
    <n v="1"/>
    <n v="1"/>
    <n v="0"/>
    <n v="0"/>
    <x v="0"/>
    <n v="1"/>
    <n v="0"/>
    <m/>
    <n v="58.4"/>
  </r>
  <r>
    <s v="USR-101342"/>
    <d v="2025-01-06T00:00:00"/>
    <x v="1"/>
    <x v="0"/>
    <x v="0"/>
    <x v="4"/>
    <s v="Free"/>
    <n v="1"/>
    <n v="0"/>
    <n v="0"/>
    <n v="0"/>
    <x v="0"/>
    <n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x v="0"/>
    <n v="0"/>
    <n v="0"/>
    <m/>
    <n v="71.599999999999994"/>
  </r>
  <r>
    <s v="USR-101344"/>
    <d v="2025-05-23T00:00:00"/>
    <x v="1"/>
    <x v="3"/>
    <x v="1"/>
    <x v="0"/>
    <s v="Basic"/>
    <n v="1"/>
    <n v="1"/>
    <n v="0"/>
    <n v="0"/>
    <x v="0"/>
    <n v="1"/>
    <n v="0"/>
    <m/>
    <n v="79.7"/>
  </r>
  <r>
    <s v="USR-101345"/>
    <d v="2025-03-14T00:00:00"/>
    <x v="1"/>
    <x v="1"/>
    <x v="0"/>
    <x v="1"/>
    <s v="Basic"/>
    <n v="1"/>
    <n v="0"/>
    <n v="0"/>
    <n v="0"/>
    <x v="0"/>
    <n v="1"/>
    <n v="0"/>
    <m/>
    <n v="56.5"/>
  </r>
  <r>
    <s v="USR-101346"/>
    <d v="2025-04-21T00:00:00"/>
    <x v="1"/>
    <x v="0"/>
    <x v="1"/>
    <x v="4"/>
    <s v="Premium"/>
    <n v="1"/>
    <n v="0"/>
    <n v="0"/>
    <n v="0"/>
    <x v="0"/>
    <n v="0"/>
    <n v="0"/>
    <m/>
    <n v="44.7"/>
  </r>
  <r>
    <s v="USR-101347"/>
    <d v="2025-01-03T00:00:00"/>
    <x v="1"/>
    <x v="3"/>
    <x v="1"/>
    <x v="4"/>
    <s v="Free"/>
    <n v="1"/>
    <n v="1"/>
    <n v="1"/>
    <n v="0"/>
    <x v="0"/>
    <n v="1"/>
    <n v="0"/>
    <m/>
    <n v="66"/>
  </r>
  <r>
    <s v="USR-101348"/>
    <d v="2025-05-09T00:00:00"/>
    <x v="1"/>
    <x v="0"/>
    <x v="0"/>
    <x v="1"/>
    <s v="Basic"/>
    <n v="1"/>
    <n v="0"/>
    <n v="0"/>
    <n v="0"/>
    <x v="0"/>
    <n v="0"/>
    <n v="0"/>
    <m/>
    <n v="73"/>
  </r>
  <r>
    <s v="USR-101349"/>
    <d v="2025-05-22T00:00:00"/>
    <x v="1"/>
    <x v="3"/>
    <x v="1"/>
    <x v="1"/>
    <s v="Basic"/>
    <n v="1"/>
    <n v="1"/>
    <n v="1"/>
    <n v="0"/>
    <x v="0"/>
    <n v="1"/>
    <n v="0"/>
    <m/>
    <n v="72.5"/>
  </r>
  <r>
    <s v="USR-101350"/>
    <d v="2025-05-07T00:00:00"/>
    <x v="1"/>
    <x v="3"/>
    <x v="0"/>
    <x v="2"/>
    <s v="Free"/>
    <n v="1"/>
    <n v="1"/>
    <n v="1"/>
    <n v="1"/>
    <x v="70"/>
    <n v="0"/>
    <n v="0"/>
    <n v="6"/>
    <n v="100"/>
  </r>
  <r>
    <s v="USR-101351"/>
    <d v="2025-02-08T00:00:00"/>
    <x v="1"/>
    <x v="2"/>
    <x v="1"/>
    <x v="4"/>
    <s v="Free"/>
    <n v="0"/>
    <n v="0"/>
    <n v="0"/>
    <n v="0"/>
    <x v="0"/>
    <n v="1"/>
    <n v="0"/>
    <m/>
    <n v="90.5"/>
  </r>
  <r>
    <s v="USR-101352"/>
    <d v="2025-04-03T00:00:00"/>
    <x v="1"/>
    <x v="0"/>
    <x v="2"/>
    <x v="4"/>
    <s v="Basic"/>
    <n v="1"/>
    <n v="0"/>
    <n v="0"/>
    <n v="0"/>
    <x v="0"/>
    <n v="0"/>
    <n v="0"/>
    <m/>
    <n v="70.2"/>
  </r>
  <r>
    <s v="USR-101353"/>
    <d v="2025-04-17T00:00:00"/>
    <x v="1"/>
    <x v="2"/>
    <x v="0"/>
    <x v="2"/>
    <s v="Free"/>
    <n v="1"/>
    <n v="0"/>
    <n v="0"/>
    <n v="0"/>
    <x v="0"/>
    <n v="1"/>
    <n v="0"/>
    <m/>
    <n v="67.099999999999994"/>
  </r>
  <r>
    <s v="USR-101354"/>
    <d v="2025-05-04T00:00:00"/>
    <x v="1"/>
    <x v="2"/>
    <x v="1"/>
    <x v="1"/>
    <s v="Free"/>
    <n v="0"/>
    <n v="0"/>
    <n v="0"/>
    <n v="0"/>
    <x v="0"/>
    <n v="0"/>
    <n v="0"/>
    <m/>
    <n v="54.5"/>
  </r>
  <r>
    <s v="USR-101355"/>
    <d v="2025-05-11T00:00:00"/>
    <x v="1"/>
    <x v="1"/>
    <x v="0"/>
    <x v="1"/>
    <s v="Free"/>
    <n v="1"/>
    <n v="0"/>
    <n v="0"/>
    <n v="0"/>
    <x v="0"/>
    <n v="0"/>
    <n v="0"/>
    <m/>
    <n v="63.4"/>
  </r>
  <r>
    <s v="USR-101356"/>
    <d v="2025-03-01T00:00:00"/>
    <x v="1"/>
    <x v="0"/>
    <x v="0"/>
    <x v="5"/>
    <s v="Free"/>
    <n v="1"/>
    <n v="1"/>
    <n v="1"/>
    <n v="0"/>
    <x v="0"/>
    <n v="0"/>
    <n v="0"/>
    <m/>
    <n v="84.3"/>
  </r>
  <r>
    <s v="USR-101357"/>
    <d v="2025-02-20T00:00:00"/>
    <x v="1"/>
    <x v="1"/>
    <x v="0"/>
    <x v="1"/>
    <s v="Free"/>
    <n v="1"/>
    <n v="0"/>
    <n v="0"/>
    <n v="0"/>
    <x v="0"/>
    <n v="1"/>
    <n v="0"/>
    <m/>
    <n v="55"/>
  </r>
  <r>
    <s v="USR-101358"/>
    <d v="2025-05-09T00:00:00"/>
    <x v="1"/>
    <x v="1"/>
    <x v="1"/>
    <x v="4"/>
    <s v="Free"/>
    <n v="1"/>
    <n v="0"/>
    <n v="0"/>
    <n v="0"/>
    <x v="0"/>
    <n v="0"/>
    <n v="0"/>
    <m/>
    <n v="63.6"/>
  </r>
  <r>
    <s v="USR-101359"/>
    <d v="2025-04-30T00:00:00"/>
    <x v="1"/>
    <x v="1"/>
    <x v="1"/>
    <x v="1"/>
    <s v="Free"/>
    <n v="1"/>
    <n v="0"/>
    <n v="0"/>
    <n v="0"/>
    <x v="0"/>
    <n v="0"/>
    <n v="0"/>
    <m/>
    <n v="55.5"/>
  </r>
  <r>
    <s v="USR-101360"/>
    <d v="2025-01-07T00:00:00"/>
    <x v="1"/>
    <x v="3"/>
    <x v="1"/>
    <x v="4"/>
    <s v="Basic"/>
    <n v="0"/>
    <n v="0"/>
    <n v="0"/>
    <n v="0"/>
    <x v="0"/>
    <n v="0"/>
    <n v="0"/>
    <m/>
    <n v="50.5"/>
  </r>
  <r>
    <s v="USR-101361"/>
    <d v="2025-04-30T00:00:00"/>
    <x v="1"/>
    <x v="0"/>
    <x v="1"/>
    <x v="4"/>
    <s v="Basic"/>
    <n v="1"/>
    <n v="0"/>
    <n v="0"/>
    <n v="0"/>
    <x v="0"/>
    <n v="0"/>
    <n v="0"/>
    <m/>
    <n v="45.3"/>
  </r>
  <r>
    <s v="USR-101362"/>
    <d v="2025-05-23T00:00:00"/>
    <x v="1"/>
    <x v="2"/>
    <x v="1"/>
    <x v="1"/>
    <s v="Basic"/>
    <n v="1"/>
    <n v="0"/>
    <n v="0"/>
    <n v="0"/>
    <x v="0"/>
    <n v="0"/>
    <n v="0"/>
    <m/>
    <n v="33.6"/>
  </r>
  <r>
    <s v="USR-101363"/>
    <d v="2025-03-12T00:00:00"/>
    <x v="1"/>
    <x v="3"/>
    <x v="1"/>
    <x v="2"/>
    <s v="Premium"/>
    <n v="1"/>
    <n v="1"/>
    <n v="1"/>
    <n v="0"/>
    <x v="0"/>
    <n v="0"/>
    <n v="0"/>
    <m/>
    <n v="88.2"/>
  </r>
  <r>
    <s v="USR-101364"/>
    <d v="2025-02-17T00:00:00"/>
    <x v="1"/>
    <x v="0"/>
    <x v="1"/>
    <x v="1"/>
    <s v="Premium"/>
    <n v="1"/>
    <n v="0"/>
    <n v="0"/>
    <n v="0"/>
    <x v="0"/>
    <n v="0"/>
    <n v="0"/>
    <m/>
    <n v="51.8"/>
  </r>
  <r>
    <s v="USR-101365"/>
    <d v="2025-05-27T00:00:00"/>
    <x v="1"/>
    <x v="0"/>
    <x v="0"/>
    <x v="1"/>
    <s v="Basic"/>
    <n v="0"/>
    <n v="0"/>
    <n v="0"/>
    <n v="0"/>
    <x v="0"/>
    <n v="0"/>
    <n v="0"/>
    <m/>
    <n v="87.9"/>
  </r>
  <r>
    <s v="USR-101366"/>
    <d v="2025-05-10T00:00:00"/>
    <x v="1"/>
    <x v="3"/>
    <x v="1"/>
    <x v="4"/>
    <s v="Premium"/>
    <n v="1"/>
    <n v="0"/>
    <n v="0"/>
    <n v="0"/>
    <x v="0"/>
    <n v="2"/>
    <n v="0"/>
    <m/>
    <n v="70.5"/>
  </r>
  <r>
    <s v="USR-101367"/>
    <d v="2025-01-20T00:00:00"/>
    <x v="1"/>
    <x v="0"/>
    <x v="1"/>
    <x v="1"/>
    <s v="Basic"/>
    <n v="1"/>
    <n v="1"/>
    <n v="0"/>
    <n v="0"/>
    <x v="0"/>
    <n v="2"/>
    <n v="0"/>
    <m/>
    <n v="58.5"/>
  </r>
  <r>
    <s v="USR-101368"/>
    <d v="2025-01-19T00:00:00"/>
    <x v="1"/>
    <x v="2"/>
    <x v="1"/>
    <x v="3"/>
    <s v="Free"/>
    <n v="1"/>
    <n v="0"/>
    <n v="0"/>
    <n v="0"/>
    <x v="0"/>
    <n v="0"/>
    <n v="0"/>
    <m/>
    <n v="65.599999999999994"/>
  </r>
  <r>
    <s v="USR-101369"/>
    <d v="2025-03-07T00:00:00"/>
    <x v="1"/>
    <x v="1"/>
    <x v="0"/>
    <x v="2"/>
    <s v="Basic"/>
    <n v="1"/>
    <n v="1"/>
    <n v="0"/>
    <n v="0"/>
    <x v="0"/>
    <n v="0"/>
    <n v="0"/>
    <m/>
    <n v="62.7"/>
  </r>
  <r>
    <s v="USR-101370"/>
    <d v="2025-02-02T00:00:00"/>
    <x v="1"/>
    <x v="2"/>
    <x v="1"/>
    <x v="1"/>
    <s v="Free"/>
    <n v="0"/>
    <n v="0"/>
    <n v="0"/>
    <n v="0"/>
    <x v="0"/>
    <n v="1"/>
    <n v="0"/>
    <m/>
    <n v="50.9"/>
  </r>
  <r>
    <s v="USR-101371"/>
    <d v="2025-03-07T00:00:00"/>
    <x v="1"/>
    <x v="0"/>
    <x v="1"/>
    <x v="1"/>
    <s v="Free"/>
    <n v="0"/>
    <n v="0"/>
    <n v="0"/>
    <n v="0"/>
    <x v="0"/>
    <n v="1"/>
    <n v="0"/>
    <m/>
    <n v="60.6"/>
  </r>
  <r>
    <s v="USR-101372"/>
    <d v="2025-03-30T00:00:00"/>
    <x v="1"/>
    <x v="2"/>
    <x v="0"/>
    <x v="1"/>
    <s v="Free"/>
    <n v="1"/>
    <n v="1"/>
    <n v="1"/>
    <n v="0"/>
    <x v="0"/>
    <n v="0"/>
    <n v="0"/>
    <m/>
    <n v="76.599999999999994"/>
  </r>
  <r>
    <s v="USR-101373"/>
    <d v="2025-05-05T00:00:00"/>
    <x v="1"/>
    <x v="2"/>
    <x v="0"/>
    <x v="2"/>
    <s v="Free"/>
    <n v="1"/>
    <n v="1"/>
    <n v="1"/>
    <n v="0"/>
    <x v="0"/>
    <n v="0"/>
    <n v="0"/>
    <m/>
    <n v="54.4"/>
  </r>
  <r>
    <s v="USR-101374"/>
    <d v="2025-04-11T00:00:00"/>
    <x v="1"/>
    <x v="3"/>
    <x v="1"/>
    <x v="4"/>
    <s v="Free"/>
    <n v="1"/>
    <n v="0"/>
    <n v="0"/>
    <n v="0"/>
    <x v="0"/>
    <n v="0"/>
    <n v="0"/>
    <m/>
    <n v="31.2"/>
  </r>
  <r>
    <s v="USR-101375"/>
    <d v="2025-03-25T00:00:00"/>
    <x v="1"/>
    <x v="1"/>
    <x v="0"/>
    <x v="0"/>
    <s v="Premium"/>
    <n v="1"/>
    <n v="0"/>
    <n v="0"/>
    <n v="0"/>
    <x v="0"/>
    <n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x v="0"/>
    <n v="0"/>
    <n v="0"/>
    <m/>
    <n v="74.5"/>
  </r>
  <r>
    <s v="USR-101377"/>
    <d v="2025-04-27T00:00:00"/>
    <x v="1"/>
    <x v="2"/>
    <x v="1"/>
    <x v="1"/>
    <s v="Basic"/>
    <n v="0"/>
    <n v="0"/>
    <n v="0"/>
    <n v="0"/>
    <x v="0"/>
    <n v="0"/>
    <n v="0"/>
    <m/>
    <n v="52.6"/>
  </r>
  <r>
    <s v="USR-101378"/>
    <d v="2025-01-25T00:00:00"/>
    <x v="1"/>
    <x v="0"/>
    <x v="0"/>
    <x v="2"/>
    <s v="Free"/>
    <n v="1"/>
    <n v="0"/>
    <n v="0"/>
    <n v="0"/>
    <x v="0"/>
    <n v="0"/>
    <n v="0"/>
    <m/>
    <n v="75.400000000000006"/>
  </r>
  <r>
    <s v="USR-101379"/>
    <d v="2025-02-17T00:00:00"/>
    <x v="1"/>
    <x v="0"/>
    <x v="2"/>
    <x v="4"/>
    <s v="Basic"/>
    <n v="1"/>
    <n v="1"/>
    <n v="1"/>
    <n v="1"/>
    <x v="71"/>
    <n v="0"/>
    <n v="0"/>
    <n v="9"/>
    <n v="34"/>
  </r>
  <r>
    <s v="USR-101380"/>
    <d v="2025-04-13T00:00:00"/>
    <x v="1"/>
    <x v="3"/>
    <x v="0"/>
    <x v="1"/>
    <s v="Free"/>
    <n v="1"/>
    <n v="0"/>
    <n v="0"/>
    <n v="0"/>
    <x v="0"/>
    <n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x v="0"/>
    <n v="0"/>
    <n v="0"/>
    <m/>
    <n v="37.299999999999997"/>
  </r>
  <r>
    <s v="USR-101382"/>
    <d v="2025-04-29T00:00:00"/>
    <x v="1"/>
    <x v="1"/>
    <x v="1"/>
    <x v="0"/>
    <s v="Free"/>
    <n v="1"/>
    <n v="0"/>
    <n v="0"/>
    <n v="0"/>
    <x v="0"/>
    <n v="0"/>
    <n v="0"/>
    <m/>
    <n v="54.7"/>
  </r>
  <r>
    <s v="USR-101383"/>
    <d v="2025-05-03T00:00:00"/>
    <x v="1"/>
    <x v="2"/>
    <x v="0"/>
    <x v="2"/>
    <s v="Free"/>
    <n v="1"/>
    <n v="0"/>
    <n v="0"/>
    <n v="0"/>
    <x v="0"/>
    <n v="0"/>
    <n v="0"/>
    <m/>
    <n v="51.8"/>
  </r>
  <r>
    <s v="USR-101384"/>
    <d v="2025-04-28T00:00:00"/>
    <x v="1"/>
    <x v="1"/>
    <x v="1"/>
    <x v="2"/>
    <s v="Free"/>
    <n v="0"/>
    <n v="0"/>
    <n v="0"/>
    <n v="0"/>
    <x v="0"/>
    <n v="0"/>
    <n v="0"/>
    <m/>
    <n v="49.2"/>
  </r>
  <r>
    <s v="USR-101385"/>
    <d v="2025-01-21T00:00:00"/>
    <x v="1"/>
    <x v="1"/>
    <x v="1"/>
    <x v="1"/>
    <s v="Free"/>
    <n v="1"/>
    <n v="0"/>
    <n v="0"/>
    <n v="0"/>
    <x v="0"/>
    <n v="2"/>
    <n v="0"/>
    <m/>
    <n v="58.8"/>
  </r>
  <r>
    <s v="USR-101386"/>
    <d v="2025-01-21T00:00:00"/>
    <x v="1"/>
    <x v="0"/>
    <x v="2"/>
    <x v="2"/>
    <s v="Basic"/>
    <n v="0"/>
    <n v="0"/>
    <n v="0"/>
    <n v="0"/>
    <x v="0"/>
    <n v="1"/>
    <n v="0"/>
    <m/>
    <n v="59.1"/>
  </r>
  <r>
    <s v="USR-101387"/>
    <d v="2025-05-21T00:00:00"/>
    <x v="1"/>
    <x v="1"/>
    <x v="0"/>
    <x v="2"/>
    <s v="Free"/>
    <n v="1"/>
    <n v="0"/>
    <n v="0"/>
    <n v="0"/>
    <x v="0"/>
    <n v="2"/>
    <n v="0"/>
    <m/>
    <n v="49.6"/>
  </r>
  <r>
    <s v="USR-101388"/>
    <d v="2025-01-05T00:00:00"/>
    <x v="1"/>
    <x v="0"/>
    <x v="1"/>
    <x v="3"/>
    <s v="Free"/>
    <n v="0"/>
    <n v="0"/>
    <n v="0"/>
    <n v="0"/>
    <x v="0"/>
    <n v="0"/>
    <n v="0"/>
    <m/>
    <n v="58.2"/>
  </r>
  <r>
    <s v="USR-101389"/>
    <d v="2025-03-06T00:00:00"/>
    <x v="1"/>
    <x v="3"/>
    <x v="0"/>
    <x v="1"/>
    <s v="Free"/>
    <n v="1"/>
    <n v="0"/>
    <n v="0"/>
    <n v="0"/>
    <x v="0"/>
    <n v="0"/>
    <n v="0"/>
    <m/>
    <n v="66.8"/>
  </r>
  <r>
    <s v="USR-101390"/>
    <d v="2025-04-18T00:00:00"/>
    <x v="1"/>
    <x v="0"/>
    <x v="1"/>
    <x v="2"/>
    <s v="Free"/>
    <n v="1"/>
    <n v="0"/>
    <n v="0"/>
    <n v="0"/>
    <x v="0"/>
    <n v="3"/>
    <n v="0"/>
    <m/>
    <n v="58.3"/>
  </r>
  <r>
    <s v="USR-101391"/>
    <d v="2025-04-15T00:00:00"/>
    <x v="1"/>
    <x v="1"/>
    <x v="1"/>
    <x v="1"/>
    <s v="Basic"/>
    <n v="1"/>
    <n v="1"/>
    <n v="1"/>
    <n v="0"/>
    <x v="0"/>
    <n v="0"/>
    <n v="0"/>
    <m/>
    <n v="38.5"/>
  </r>
  <r>
    <s v="USR-101392"/>
    <d v="2025-02-10T00:00:00"/>
    <x v="1"/>
    <x v="2"/>
    <x v="1"/>
    <x v="2"/>
    <s v="Free"/>
    <n v="1"/>
    <n v="0"/>
    <n v="0"/>
    <n v="0"/>
    <x v="0"/>
    <n v="0"/>
    <n v="0"/>
    <m/>
    <n v="76.900000000000006"/>
  </r>
  <r>
    <s v="USR-101393"/>
    <d v="2025-05-08T00:00:00"/>
    <x v="1"/>
    <x v="2"/>
    <x v="1"/>
    <x v="1"/>
    <s v="Free"/>
    <n v="1"/>
    <n v="0"/>
    <n v="0"/>
    <n v="0"/>
    <x v="0"/>
    <n v="0"/>
    <n v="0"/>
    <m/>
    <n v="54"/>
  </r>
  <r>
    <s v="USR-101394"/>
    <d v="2025-05-28T00:00:00"/>
    <x v="1"/>
    <x v="2"/>
    <x v="2"/>
    <x v="1"/>
    <s v="Free"/>
    <n v="1"/>
    <n v="0"/>
    <n v="0"/>
    <n v="0"/>
    <x v="0"/>
    <n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x v="0"/>
    <n v="1"/>
    <n v="0"/>
    <m/>
    <n v="69.400000000000006"/>
  </r>
  <r>
    <s v="USR-101396"/>
    <d v="2025-02-11T00:00:00"/>
    <x v="1"/>
    <x v="3"/>
    <x v="1"/>
    <x v="5"/>
    <s v="Premium"/>
    <n v="1"/>
    <n v="1"/>
    <n v="1"/>
    <n v="1"/>
    <x v="72"/>
    <n v="0"/>
    <n v="0"/>
    <n v="6"/>
    <n v="89.7"/>
  </r>
  <r>
    <s v="USR-101397"/>
    <d v="2025-04-14T00:00:00"/>
    <x v="1"/>
    <x v="1"/>
    <x v="1"/>
    <x v="1"/>
    <s v="Free"/>
    <n v="1"/>
    <n v="0"/>
    <n v="0"/>
    <n v="0"/>
    <x v="0"/>
    <n v="0"/>
    <n v="0"/>
    <m/>
    <n v="62.4"/>
  </r>
  <r>
    <s v="USR-101398"/>
    <d v="2025-02-04T00:00:00"/>
    <x v="1"/>
    <x v="1"/>
    <x v="2"/>
    <x v="1"/>
    <s v="Premium"/>
    <n v="0"/>
    <n v="0"/>
    <n v="0"/>
    <n v="0"/>
    <x v="0"/>
    <n v="0"/>
    <n v="0"/>
    <m/>
    <n v="67.3"/>
  </r>
  <r>
    <s v="USR-101399"/>
    <d v="2025-03-22T00:00:00"/>
    <x v="1"/>
    <x v="2"/>
    <x v="1"/>
    <x v="3"/>
    <s v="Free"/>
    <n v="1"/>
    <n v="0"/>
    <n v="0"/>
    <n v="0"/>
    <x v="0"/>
    <n v="0"/>
    <n v="0"/>
    <m/>
    <n v="54.9"/>
  </r>
  <r>
    <s v="USR-101400"/>
    <d v="2025-04-18T00:00:00"/>
    <x v="1"/>
    <x v="2"/>
    <x v="0"/>
    <x v="4"/>
    <s v="Free"/>
    <n v="0"/>
    <n v="0"/>
    <n v="0"/>
    <n v="0"/>
    <x v="0"/>
    <n v="0"/>
    <n v="0"/>
    <m/>
    <n v="55.7"/>
  </r>
  <r>
    <s v="USR-100917"/>
    <d v="2025-02-23T00:00:00"/>
    <x v="1"/>
    <x v="1"/>
    <x v="0"/>
    <x v="4"/>
    <s v="Basic"/>
    <n v="1"/>
    <n v="1"/>
    <n v="1"/>
    <n v="0"/>
    <x v="0"/>
    <n v="0"/>
    <n v="0"/>
    <m/>
    <n v="70.599999999999994"/>
  </r>
  <r>
    <s v="USR-100433"/>
    <d v="2025-02-03T00:00:00"/>
    <x v="0"/>
    <x v="0"/>
    <x v="2"/>
    <x v="0"/>
    <s v="Basic"/>
    <n v="1"/>
    <n v="0"/>
    <n v="0"/>
    <n v="0"/>
    <x v="0"/>
    <n v="0"/>
    <n v="0"/>
    <m/>
    <n v="60.9"/>
  </r>
  <r>
    <s v="USR-101362"/>
    <d v="2025-05-23T00:00:00"/>
    <x v="1"/>
    <x v="2"/>
    <x v="1"/>
    <x v="1"/>
    <s v="Basic"/>
    <n v="1"/>
    <n v="0"/>
    <n v="0"/>
    <n v="0"/>
    <x v="0"/>
    <n v="0"/>
    <n v="0"/>
    <m/>
    <n v="33.6"/>
  </r>
  <r>
    <s v="USR-100096"/>
    <d v="2025-02-05T00:00:00"/>
    <x v="0"/>
    <x v="2"/>
    <x v="1"/>
    <x v="4"/>
    <s v="Free"/>
    <n v="0"/>
    <n v="0"/>
    <n v="0"/>
    <n v="0"/>
    <x v="0"/>
    <n v="0"/>
    <n v="0"/>
    <m/>
    <n v="68"/>
  </r>
  <r>
    <s v="USR-101210"/>
    <d v="2025-02-24T00:00:00"/>
    <x v="1"/>
    <x v="1"/>
    <x v="1"/>
    <x v="1"/>
    <s v="Basic"/>
    <n v="1"/>
    <n v="0"/>
    <n v="0"/>
    <n v="0"/>
    <x v="0"/>
    <n v="0"/>
    <n v="0"/>
    <m/>
    <n v="62"/>
  </r>
  <r>
    <s v="USR-101232"/>
    <d v="2025-03-30T00:00:00"/>
    <x v="1"/>
    <x v="2"/>
    <x v="1"/>
    <x v="1"/>
    <s v="Free"/>
    <n v="1"/>
    <n v="1"/>
    <n v="1"/>
    <n v="0"/>
    <x v="0"/>
    <n v="1"/>
    <n v="0"/>
    <m/>
    <n v="72.5"/>
  </r>
  <r>
    <s v="USR-101059"/>
    <d v="2025-05-16T00:00:00"/>
    <x v="1"/>
    <x v="3"/>
    <x v="1"/>
    <x v="1"/>
    <s v="Free"/>
    <n v="1"/>
    <n v="0"/>
    <n v="0"/>
    <n v="0"/>
    <x v="0"/>
    <n v="0"/>
    <n v="0"/>
    <m/>
    <n v="70.3"/>
  </r>
  <r>
    <s v="USR-100541"/>
    <d v="2025-05-22T00:00:00"/>
    <x v="0"/>
    <x v="0"/>
    <x v="1"/>
    <x v="2"/>
    <s v="Basic"/>
    <n v="1"/>
    <n v="1"/>
    <n v="0"/>
    <n v="0"/>
    <x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8FD8D-2BD3-4DD6-A1F3-E6A273B531B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" firstHeaderRow="1" firstDataRow="3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user_id" fld="0" subtotal="count" baseField="0" baseItem="0"/>
    <dataField name="Average of engagement_score" fld="15" subtotal="average" baseField="3" baseItem="0"/>
    <dataField name="Average of revenue_30d" fld="1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CBF38-7F93-409E-AAA5-FAA90CA2D24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" firstHeaderRow="1" firstDataRow="3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user_id" fld="0" subtotal="count" baseField="0" baseItem="0"/>
    <dataField name="Average of revenue_30d" fld="11" subtotal="average" baseField="4" baseItem="0"/>
    <dataField name="Average of engagement_score" fld="1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29511-7CEE-43CE-9F2A-7E0DE115B73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" firstHeaderRow="1" firstDataRow="3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>
      <items count="74">
        <item x="0"/>
        <item x="46"/>
        <item x="1"/>
        <item x="59"/>
        <item x="49"/>
        <item x="25"/>
        <item x="30"/>
        <item x="56"/>
        <item x="44"/>
        <item x="70"/>
        <item x="43"/>
        <item x="51"/>
        <item x="40"/>
        <item x="22"/>
        <item x="60"/>
        <item x="61"/>
        <item x="3"/>
        <item x="37"/>
        <item x="29"/>
        <item x="6"/>
        <item x="14"/>
        <item x="54"/>
        <item x="65"/>
        <item x="53"/>
        <item x="15"/>
        <item x="67"/>
        <item x="36"/>
        <item x="35"/>
        <item x="50"/>
        <item x="27"/>
        <item x="68"/>
        <item x="23"/>
        <item x="2"/>
        <item x="31"/>
        <item x="42"/>
        <item x="41"/>
        <item x="20"/>
        <item x="24"/>
        <item x="10"/>
        <item x="7"/>
        <item x="26"/>
        <item x="63"/>
        <item x="71"/>
        <item x="21"/>
        <item x="52"/>
        <item x="32"/>
        <item x="16"/>
        <item x="55"/>
        <item x="64"/>
        <item x="72"/>
        <item x="34"/>
        <item x="9"/>
        <item x="62"/>
        <item x="38"/>
        <item x="33"/>
        <item x="12"/>
        <item x="11"/>
        <item x="8"/>
        <item x="66"/>
        <item x="28"/>
        <item x="19"/>
        <item x="58"/>
        <item x="45"/>
        <item x="57"/>
        <item x="48"/>
        <item x="47"/>
        <item x="39"/>
        <item x="18"/>
        <item x="17"/>
        <item x="69"/>
        <item x="4"/>
        <item x="13"/>
        <item x="5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engagement_score" fld="15" subtotal="average" baseField="5" baseItem="0"/>
    <dataField name="Average of revenue_30d" fld="11" subtotal="average" baseField="5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464F-A2DF-4B63-B716-3758A786C82F}">
  <dimension ref="A3:J10"/>
  <sheetViews>
    <sheetView workbookViewId="0">
      <selection activeCell="D14" sqref="D14"/>
    </sheetView>
  </sheetViews>
  <sheetFormatPr defaultRowHeight="13.8"/>
  <cols>
    <col min="1" max="1" width="13.09765625" bestFit="1" customWidth="1"/>
    <col min="2" max="2" width="16.09765625" bestFit="1" customWidth="1"/>
    <col min="3" max="3" width="28.296875" bestFit="1" customWidth="1"/>
    <col min="4" max="4" width="22.69921875" bestFit="1" customWidth="1"/>
    <col min="5" max="5" width="15.3984375" bestFit="1" customWidth="1"/>
    <col min="6" max="6" width="28.296875" bestFit="1" customWidth="1"/>
    <col min="7" max="7" width="22.69921875" bestFit="1" customWidth="1"/>
    <col min="8" max="8" width="20.296875" bestFit="1" customWidth="1"/>
    <col min="9" max="9" width="33.19921875" bestFit="1" customWidth="1"/>
    <col min="10" max="10" width="27.59765625" bestFit="1" customWidth="1"/>
  </cols>
  <sheetData>
    <row r="3" spans="1:10">
      <c r="B3" s="7" t="s">
        <v>1465</v>
      </c>
    </row>
    <row r="4" spans="1:10">
      <c r="B4" t="s">
        <v>17</v>
      </c>
      <c r="E4" t="s">
        <v>723</v>
      </c>
      <c r="H4" t="s">
        <v>1467</v>
      </c>
      <c r="I4" t="s">
        <v>1468</v>
      </c>
      <c r="J4" t="s">
        <v>1470</v>
      </c>
    </row>
    <row r="5" spans="1:10">
      <c r="A5" s="7" t="s">
        <v>1463</v>
      </c>
      <c r="B5" t="s">
        <v>1466</v>
      </c>
      <c r="C5" t="s">
        <v>1469</v>
      </c>
      <c r="D5" t="s">
        <v>1471</v>
      </c>
      <c r="E5" t="s">
        <v>1466</v>
      </c>
      <c r="F5" t="s">
        <v>1469</v>
      </c>
      <c r="G5" t="s">
        <v>1471</v>
      </c>
    </row>
    <row r="6" spans="1:10">
      <c r="A6" s="8" t="s">
        <v>28</v>
      </c>
      <c r="B6" s="6">
        <v>158</v>
      </c>
      <c r="C6" s="6">
        <v>56.628481012658234</v>
      </c>
      <c r="D6" s="6">
        <v>18.11607594936709</v>
      </c>
      <c r="E6" s="6">
        <v>172</v>
      </c>
      <c r="F6" s="6">
        <v>63.187719298245639</v>
      </c>
      <c r="G6" s="6">
        <v>46.504651162790701</v>
      </c>
      <c r="H6" s="6">
        <v>330</v>
      </c>
      <c r="I6" s="6">
        <v>60.037689969604898</v>
      </c>
      <c r="J6" s="6">
        <v>32.912545454545452</v>
      </c>
    </row>
    <row r="7" spans="1:10">
      <c r="A7" s="8" t="s">
        <v>18</v>
      </c>
      <c r="B7" s="6">
        <v>203</v>
      </c>
      <c r="C7" s="6">
        <v>57.544499999999978</v>
      </c>
      <c r="D7" s="6">
        <v>83.667586206896559</v>
      </c>
      <c r="E7" s="6">
        <v>180</v>
      </c>
      <c r="F7" s="6">
        <v>63.153977272727246</v>
      </c>
      <c r="G7" s="6">
        <v>80.967500000000001</v>
      </c>
      <c r="H7" s="6">
        <v>383</v>
      </c>
      <c r="I7" s="6">
        <v>60.170212765957444</v>
      </c>
      <c r="J7" s="6">
        <v>82.398616187989575</v>
      </c>
    </row>
    <row r="8" spans="1:10">
      <c r="A8" s="8" t="s">
        <v>32</v>
      </c>
      <c r="B8" s="6">
        <v>184</v>
      </c>
      <c r="C8" s="6">
        <v>56.904972375690591</v>
      </c>
      <c r="D8" s="6">
        <v>76.033097826086959</v>
      </c>
      <c r="E8" s="6">
        <v>184</v>
      </c>
      <c r="F8" s="6">
        <v>62.158241758241765</v>
      </c>
      <c r="G8" s="6">
        <v>47.001684782608692</v>
      </c>
      <c r="H8" s="6">
        <v>368</v>
      </c>
      <c r="I8" s="6">
        <v>59.538842975206634</v>
      </c>
      <c r="J8" s="6">
        <v>61.517391304347811</v>
      </c>
    </row>
    <row r="9" spans="1:10">
      <c r="A9" s="8" t="s">
        <v>23</v>
      </c>
      <c r="B9" s="6">
        <v>148</v>
      </c>
      <c r="C9" s="6">
        <v>56.898648648648638</v>
      </c>
      <c r="D9" s="6">
        <v>13.684662162162162</v>
      </c>
      <c r="E9" s="6">
        <v>179</v>
      </c>
      <c r="F9" s="6">
        <v>63.257865168539347</v>
      </c>
      <c r="G9" s="6">
        <v>40.77905027932961</v>
      </c>
      <c r="H9" s="6">
        <v>327</v>
      </c>
      <c r="I9" s="6">
        <v>60.370858895705496</v>
      </c>
      <c r="J9" s="6">
        <v>28.516146788990824</v>
      </c>
    </row>
    <row r="10" spans="1:10">
      <c r="A10" s="8" t="s">
        <v>1464</v>
      </c>
      <c r="B10" s="6">
        <v>693</v>
      </c>
      <c r="C10" s="6">
        <v>57.026200873362512</v>
      </c>
      <c r="D10" s="6">
        <v>51.74932178932179</v>
      </c>
      <c r="E10" s="6">
        <v>715</v>
      </c>
      <c r="F10" s="6">
        <v>62.931966053748276</v>
      </c>
      <c r="G10" s="6">
        <v>53.87511888111888</v>
      </c>
      <c r="H10" s="6">
        <v>1408</v>
      </c>
      <c r="I10" s="6">
        <v>60.02144906743186</v>
      </c>
      <c r="J10" s="6">
        <v>52.828828124999994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1599-37BE-4710-B99C-AFE4BC302C0E}">
  <dimension ref="A3:J10"/>
  <sheetViews>
    <sheetView workbookViewId="0">
      <selection activeCell="G10" sqref="G10"/>
    </sheetView>
  </sheetViews>
  <sheetFormatPr defaultRowHeight="13.8"/>
  <cols>
    <col min="1" max="1" width="13.09765625" bestFit="1" customWidth="1"/>
    <col min="2" max="2" width="16.09765625" bestFit="1" customWidth="1"/>
    <col min="3" max="3" width="22.69921875" bestFit="1" customWidth="1"/>
    <col min="4" max="4" width="28.296875" bestFit="1" customWidth="1"/>
    <col min="5" max="5" width="15.3984375" bestFit="1" customWidth="1"/>
    <col min="6" max="6" width="22.69921875" bestFit="1" customWidth="1"/>
    <col min="7" max="7" width="28.296875" bestFit="1" customWidth="1"/>
    <col min="8" max="8" width="20.296875" bestFit="1" customWidth="1"/>
    <col min="9" max="9" width="27.59765625" bestFit="1" customWidth="1"/>
    <col min="10" max="10" width="33.19921875" bestFit="1" customWidth="1"/>
  </cols>
  <sheetData>
    <row r="3" spans="1:10">
      <c r="B3" s="7" t="s">
        <v>1465</v>
      </c>
    </row>
    <row r="4" spans="1:10">
      <c r="B4" t="s">
        <v>17</v>
      </c>
      <c r="E4" t="s">
        <v>723</v>
      </c>
      <c r="H4" t="s">
        <v>1467</v>
      </c>
      <c r="I4" t="s">
        <v>1470</v>
      </c>
      <c r="J4" t="s">
        <v>1468</v>
      </c>
    </row>
    <row r="5" spans="1:10">
      <c r="A5" s="7" t="s">
        <v>1463</v>
      </c>
      <c r="B5" t="s">
        <v>1466</v>
      </c>
      <c r="C5" t="s">
        <v>1471</v>
      </c>
      <c r="D5" t="s">
        <v>1469</v>
      </c>
      <c r="E5" t="s">
        <v>1466</v>
      </c>
      <c r="F5" t="s">
        <v>1471</v>
      </c>
      <c r="G5" t="s">
        <v>1469</v>
      </c>
    </row>
    <row r="6" spans="1:10">
      <c r="A6" s="8" t="s">
        <v>19</v>
      </c>
      <c r="B6" s="6">
        <v>200</v>
      </c>
      <c r="C6" s="6">
        <v>84.942949999999996</v>
      </c>
      <c r="D6" s="6">
        <v>57.21256281407036</v>
      </c>
      <c r="E6" s="6">
        <v>214</v>
      </c>
      <c r="F6" s="6">
        <v>40.958130841121502</v>
      </c>
      <c r="G6" s="6">
        <v>63.245283018867951</v>
      </c>
      <c r="H6" s="6">
        <v>414</v>
      </c>
      <c r="I6" s="6">
        <v>62.206835748792265</v>
      </c>
      <c r="J6" s="6">
        <v>60.324330900243304</v>
      </c>
    </row>
    <row r="7" spans="1:10">
      <c r="A7" s="8" t="s">
        <v>24</v>
      </c>
      <c r="B7" s="6">
        <v>428</v>
      </c>
      <c r="C7" s="6">
        <v>41.84796728971962</v>
      </c>
      <c r="D7" s="6">
        <v>57.347877358490521</v>
      </c>
      <c r="E7" s="6">
        <v>436</v>
      </c>
      <c r="F7" s="6">
        <v>58.828348623853209</v>
      </c>
      <c r="G7" s="6">
        <v>62.783720930232597</v>
      </c>
      <c r="H7" s="6">
        <v>864</v>
      </c>
      <c r="I7" s="6">
        <v>50.416770833333331</v>
      </c>
      <c r="J7" s="6">
        <v>60.08489461358311</v>
      </c>
    </row>
    <row r="8" spans="1:10">
      <c r="A8" s="8" t="s">
        <v>34</v>
      </c>
      <c r="B8" s="6">
        <v>56</v>
      </c>
      <c r="C8" s="6">
        <v>7.3105357142857139</v>
      </c>
      <c r="D8" s="6">
        <v>55.758181818181825</v>
      </c>
      <c r="E8" s="6">
        <v>56</v>
      </c>
      <c r="F8" s="6">
        <v>73.330535714285716</v>
      </c>
      <c r="G8" s="6">
        <v>63.007142857142846</v>
      </c>
      <c r="H8" s="6">
        <v>112</v>
      </c>
      <c r="I8" s="6">
        <v>40.320535714285711</v>
      </c>
      <c r="J8" s="6">
        <v>59.415315315315326</v>
      </c>
    </row>
    <row r="9" spans="1:10">
      <c r="A9" s="8" t="s">
        <v>1472</v>
      </c>
      <c r="B9" s="6">
        <v>9</v>
      </c>
      <c r="C9" s="6">
        <v>61.485555555555557</v>
      </c>
      <c r="D9" s="6">
        <v>45.500000000000007</v>
      </c>
      <c r="E9" s="6">
        <v>9</v>
      </c>
      <c r="F9" s="6">
        <v>0</v>
      </c>
      <c r="G9" s="6">
        <v>62.166666666666664</v>
      </c>
      <c r="H9" s="6">
        <v>18</v>
      </c>
      <c r="I9" s="6">
        <v>30.742777777777778</v>
      </c>
      <c r="J9" s="6">
        <v>53.833333333333343</v>
      </c>
    </row>
    <row r="10" spans="1:10">
      <c r="A10" s="8" t="s">
        <v>1464</v>
      </c>
      <c r="B10" s="6">
        <v>693</v>
      </c>
      <c r="C10" s="6">
        <v>51.74932178932179</v>
      </c>
      <c r="D10" s="6">
        <v>57.026200873362491</v>
      </c>
      <c r="E10" s="6">
        <v>715</v>
      </c>
      <c r="F10" s="6">
        <v>53.875118881118887</v>
      </c>
      <c r="G10" s="6">
        <v>62.931966053748283</v>
      </c>
      <c r="H10" s="6">
        <v>1408</v>
      </c>
      <c r="I10" s="6">
        <v>52.828828124999994</v>
      </c>
      <c r="J10" s="6">
        <v>60.021449067431838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70F7-6023-42A2-8A56-3C1B4D4AED5B}">
  <dimension ref="A3:J12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28.296875" bestFit="1" customWidth="1"/>
    <col min="3" max="3" width="22.69921875" bestFit="1" customWidth="1"/>
    <col min="4" max="4" width="15.3984375" bestFit="1" customWidth="1"/>
    <col min="5" max="5" width="28.296875" bestFit="1" customWidth="1"/>
    <col min="6" max="6" width="22.69921875" bestFit="1" customWidth="1"/>
    <col min="7" max="7" width="15.3984375" bestFit="1" customWidth="1"/>
    <col min="8" max="8" width="33.19921875" bestFit="1" customWidth="1"/>
    <col min="9" max="9" width="27.59765625" bestFit="1" customWidth="1"/>
    <col min="10" max="10" width="20.296875" bestFit="1" customWidth="1"/>
    <col min="11" max="11" width="19.19921875" bestFit="1" customWidth="1"/>
    <col min="12" max="12" width="15.3984375" bestFit="1" customWidth="1"/>
    <col min="13" max="13" width="19.19921875" bestFit="1" customWidth="1"/>
    <col min="14" max="14" width="15.3984375" bestFit="1" customWidth="1"/>
    <col min="15" max="15" width="19.19921875" bestFit="1" customWidth="1"/>
    <col min="16" max="16" width="15.3984375" bestFit="1" customWidth="1"/>
    <col min="17" max="17" width="19.19921875" bestFit="1" customWidth="1"/>
    <col min="18" max="18" width="15.3984375" bestFit="1" customWidth="1"/>
    <col min="19" max="19" width="19.19921875" bestFit="1" customWidth="1"/>
    <col min="20" max="20" width="15.3984375" bestFit="1" customWidth="1"/>
    <col min="21" max="21" width="19.19921875" bestFit="1" customWidth="1"/>
    <col min="22" max="22" width="15.3984375" bestFit="1" customWidth="1"/>
    <col min="23" max="23" width="19.19921875" bestFit="1" customWidth="1"/>
    <col min="24" max="24" width="15.3984375" bestFit="1" customWidth="1"/>
    <col min="25" max="25" width="19.19921875" bestFit="1" customWidth="1"/>
    <col min="26" max="26" width="15.3984375" bestFit="1" customWidth="1"/>
    <col min="27" max="27" width="19.19921875" bestFit="1" customWidth="1"/>
    <col min="28" max="28" width="15.3984375" bestFit="1" customWidth="1"/>
    <col min="29" max="29" width="19.19921875" bestFit="1" customWidth="1"/>
    <col min="30" max="30" width="15.3984375" bestFit="1" customWidth="1"/>
    <col min="31" max="31" width="19.19921875" bestFit="1" customWidth="1"/>
    <col min="32" max="32" width="15.3984375" bestFit="1" customWidth="1"/>
    <col min="33" max="33" width="19.19921875" bestFit="1" customWidth="1"/>
    <col min="34" max="34" width="15.3984375" bestFit="1" customWidth="1"/>
    <col min="35" max="35" width="19.19921875" bestFit="1" customWidth="1"/>
    <col min="36" max="36" width="15.3984375" bestFit="1" customWidth="1"/>
    <col min="37" max="37" width="19.19921875" bestFit="1" customWidth="1"/>
    <col min="38" max="38" width="15.3984375" bestFit="1" customWidth="1"/>
    <col min="39" max="39" width="19.19921875" bestFit="1" customWidth="1"/>
    <col min="40" max="40" width="15.3984375" bestFit="1" customWidth="1"/>
    <col min="41" max="41" width="19.19921875" bestFit="1" customWidth="1"/>
    <col min="42" max="42" width="15.3984375" bestFit="1" customWidth="1"/>
    <col min="43" max="43" width="19.19921875" bestFit="1" customWidth="1"/>
    <col min="44" max="44" width="15.3984375" bestFit="1" customWidth="1"/>
    <col min="45" max="45" width="19.19921875" bestFit="1" customWidth="1"/>
    <col min="46" max="46" width="15.3984375" bestFit="1" customWidth="1"/>
    <col min="47" max="47" width="19.19921875" bestFit="1" customWidth="1"/>
    <col min="48" max="48" width="22.5" bestFit="1" customWidth="1"/>
    <col min="49" max="49" width="26.296875" bestFit="1" customWidth="1"/>
    <col min="50" max="50" width="15.3984375" bestFit="1" customWidth="1"/>
    <col min="51" max="51" width="19.19921875" bestFit="1" customWidth="1"/>
    <col min="52" max="52" width="15.3984375" bestFit="1" customWidth="1"/>
    <col min="53" max="53" width="19.19921875" bestFit="1" customWidth="1"/>
    <col min="54" max="54" width="15.3984375" bestFit="1" customWidth="1"/>
    <col min="55" max="55" width="19.19921875" bestFit="1" customWidth="1"/>
    <col min="56" max="56" width="15.3984375" bestFit="1" customWidth="1"/>
    <col min="57" max="57" width="19.19921875" bestFit="1" customWidth="1"/>
    <col min="58" max="58" width="15.3984375" bestFit="1" customWidth="1"/>
    <col min="59" max="59" width="19.19921875" bestFit="1" customWidth="1"/>
    <col min="60" max="60" width="15.3984375" bestFit="1" customWidth="1"/>
    <col min="61" max="61" width="19.19921875" bestFit="1" customWidth="1"/>
    <col min="62" max="62" width="15.3984375" bestFit="1" customWidth="1"/>
    <col min="63" max="63" width="19.19921875" bestFit="1" customWidth="1"/>
    <col min="64" max="64" width="15.3984375" bestFit="1" customWidth="1"/>
    <col min="65" max="65" width="19.19921875" bestFit="1" customWidth="1"/>
    <col min="66" max="66" width="15.3984375" bestFit="1" customWidth="1"/>
    <col min="67" max="67" width="19.19921875" bestFit="1" customWidth="1"/>
    <col min="68" max="68" width="15.3984375" bestFit="1" customWidth="1"/>
    <col min="69" max="69" width="19.19921875" bestFit="1" customWidth="1"/>
    <col min="70" max="70" width="15.3984375" bestFit="1" customWidth="1"/>
    <col min="71" max="71" width="19.19921875" bestFit="1" customWidth="1"/>
    <col min="72" max="72" width="15.3984375" bestFit="1" customWidth="1"/>
    <col min="73" max="73" width="19.19921875" bestFit="1" customWidth="1"/>
    <col min="74" max="74" width="15.3984375" bestFit="1" customWidth="1"/>
    <col min="75" max="75" width="19.19921875" bestFit="1" customWidth="1"/>
    <col min="76" max="76" width="15.3984375" bestFit="1" customWidth="1"/>
    <col min="77" max="77" width="19.19921875" bestFit="1" customWidth="1"/>
    <col min="78" max="78" width="15.3984375" bestFit="1" customWidth="1"/>
    <col min="79" max="79" width="19.19921875" bestFit="1" customWidth="1"/>
    <col min="80" max="80" width="15.3984375" bestFit="1" customWidth="1"/>
    <col min="81" max="81" width="19.19921875" bestFit="1" customWidth="1"/>
    <col min="82" max="82" width="15.3984375" bestFit="1" customWidth="1"/>
    <col min="83" max="83" width="19.19921875" bestFit="1" customWidth="1"/>
    <col min="84" max="84" width="15.3984375" bestFit="1" customWidth="1"/>
    <col min="85" max="85" width="19.19921875" bestFit="1" customWidth="1"/>
    <col min="86" max="86" width="15.3984375" bestFit="1" customWidth="1"/>
    <col min="87" max="87" width="19.19921875" bestFit="1" customWidth="1"/>
    <col min="88" max="88" width="15.3984375" bestFit="1" customWidth="1"/>
    <col min="89" max="89" width="19.19921875" bestFit="1" customWidth="1"/>
    <col min="90" max="90" width="15.3984375" bestFit="1" customWidth="1"/>
    <col min="91" max="91" width="19.19921875" bestFit="1" customWidth="1"/>
    <col min="92" max="92" width="15.3984375" bestFit="1" customWidth="1"/>
    <col min="93" max="93" width="19.19921875" bestFit="1" customWidth="1"/>
    <col min="94" max="94" width="15.3984375" bestFit="1" customWidth="1"/>
    <col min="95" max="95" width="19.19921875" bestFit="1" customWidth="1"/>
    <col min="96" max="96" width="15.3984375" bestFit="1" customWidth="1"/>
    <col min="97" max="97" width="19.19921875" bestFit="1" customWidth="1"/>
    <col min="98" max="98" width="15.3984375" bestFit="1" customWidth="1"/>
    <col min="99" max="99" width="19.19921875" bestFit="1" customWidth="1"/>
    <col min="100" max="100" width="15.3984375" bestFit="1" customWidth="1"/>
    <col min="101" max="101" width="19.19921875" bestFit="1" customWidth="1"/>
    <col min="102" max="102" width="15.3984375" bestFit="1" customWidth="1"/>
    <col min="103" max="103" width="19.19921875" bestFit="1" customWidth="1"/>
    <col min="104" max="104" width="15.3984375" bestFit="1" customWidth="1"/>
    <col min="105" max="105" width="19.19921875" bestFit="1" customWidth="1"/>
    <col min="106" max="106" width="15.3984375" bestFit="1" customWidth="1"/>
    <col min="107" max="107" width="19.19921875" bestFit="1" customWidth="1"/>
    <col min="108" max="108" width="15.3984375" bestFit="1" customWidth="1"/>
    <col min="109" max="109" width="19.19921875" bestFit="1" customWidth="1"/>
    <col min="110" max="110" width="15.3984375" bestFit="1" customWidth="1"/>
    <col min="111" max="111" width="19.19921875" bestFit="1" customWidth="1"/>
    <col min="112" max="112" width="15.3984375" bestFit="1" customWidth="1"/>
    <col min="113" max="113" width="19.19921875" bestFit="1" customWidth="1"/>
    <col min="114" max="114" width="15.3984375" bestFit="1" customWidth="1"/>
    <col min="115" max="115" width="19.19921875" bestFit="1" customWidth="1"/>
    <col min="116" max="116" width="15.3984375" bestFit="1" customWidth="1"/>
    <col min="117" max="117" width="19.19921875" bestFit="1" customWidth="1"/>
    <col min="118" max="118" width="15.3984375" bestFit="1" customWidth="1"/>
    <col min="119" max="119" width="19.19921875" bestFit="1" customWidth="1"/>
    <col min="120" max="120" width="15.3984375" bestFit="1" customWidth="1"/>
    <col min="121" max="121" width="19.19921875" bestFit="1" customWidth="1"/>
    <col min="122" max="122" width="15.3984375" bestFit="1" customWidth="1"/>
    <col min="123" max="123" width="19.19921875" bestFit="1" customWidth="1"/>
    <col min="124" max="124" width="15.3984375" bestFit="1" customWidth="1"/>
    <col min="125" max="125" width="19.19921875" bestFit="1" customWidth="1"/>
    <col min="126" max="126" width="15.3984375" bestFit="1" customWidth="1"/>
    <col min="127" max="127" width="19.19921875" bestFit="1" customWidth="1"/>
    <col min="128" max="128" width="15.3984375" bestFit="1" customWidth="1"/>
    <col min="129" max="129" width="19.19921875" bestFit="1" customWidth="1"/>
    <col min="130" max="130" width="15.3984375" bestFit="1" customWidth="1"/>
    <col min="131" max="131" width="19.19921875" bestFit="1" customWidth="1"/>
    <col min="132" max="132" width="15.3984375" bestFit="1" customWidth="1"/>
    <col min="133" max="133" width="19.19921875" bestFit="1" customWidth="1"/>
    <col min="134" max="134" width="15.3984375" bestFit="1" customWidth="1"/>
    <col min="135" max="135" width="19.19921875" bestFit="1" customWidth="1"/>
    <col min="136" max="136" width="15.3984375" bestFit="1" customWidth="1"/>
    <col min="137" max="137" width="19.19921875" bestFit="1" customWidth="1"/>
    <col min="138" max="138" width="15.3984375" bestFit="1" customWidth="1"/>
    <col min="139" max="139" width="19.19921875" bestFit="1" customWidth="1"/>
    <col min="140" max="140" width="15.3984375" bestFit="1" customWidth="1"/>
    <col min="141" max="141" width="19.19921875" bestFit="1" customWidth="1"/>
    <col min="142" max="142" width="15.3984375" bestFit="1" customWidth="1"/>
    <col min="143" max="143" width="19.19921875" bestFit="1" customWidth="1"/>
    <col min="144" max="144" width="15.3984375" bestFit="1" customWidth="1"/>
    <col min="145" max="145" width="19.19921875" bestFit="1" customWidth="1"/>
    <col min="146" max="146" width="15.3984375" bestFit="1" customWidth="1"/>
    <col min="147" max="147" width="19.19921875" bestFit="1" customWidth="1"/>
    <col min="148" max="148" width="15.3984375" bestFit="1" customWidth="1"/>
    <col min="149" max="149" width="19.19921875" bestFit="1" customWidth="1"/>
    <col min="150" max="150" width="15.3984375" bestFit="1" customWidth="1"/>
    <col min="151" max="151" width="19.19921875" bestFit="1" customWidth="1"/>
    <col min="152" max="152" width="25.09765625" bestFit="1" customWidth="1"/>
    <col min="153" max="153" width="28.8984375" bestFit="1" customWidth="1"/>
    <col min="154" max="154" width="20.296875" bestFit="1" customWidth="1"/>
    <col min="155" max="155" width="24.09765625" bestFit="1" customWidth="1"/>
  </cols>
  <sheetData>
    <row r="3" spans="1:10">
      <c r="B3" s="7" t="s">
        <v>1465</v>
      </c>
    </row>
    <row r="4" spans="1:10">
      <c r="B4" t="s">
        <v>17</v>
      </c>
      <c r="E4" t="s">
        <v>723</v>
      </c>
      <c r="H4" t="s">
        <v>1468</v>
      </c>
      <c r="I4" t="s">
        <v>1470</v>
      </c>
      <c r="J4" t="s">
        <v>1467</v>
      </c>
    </row>
    <row r="5" spans="1:10">
      <c r="A5" s="7" t="s">
        <v>1463</v>
      </c>
      <c r="B5" t="s">
        <v>1469</v>
      </c>
      <c r="C5" t="s">
        <v>1471</v>
      </c>
      <c r="D5" t="s">
        <v>1466</v>
      </c>
      <c r="E5" t="s">
        <v>1469</v>
      </c>
      <c r="F5" t="s">
        <v>1471</v>
      </c>
      <c r="G5" t="s">
        <v>1466</v>
      </c>
    </row>
    <row r="6" spans="1:10">
      <c r="A6" s="8" t="s">
        <v>20</v>
      </c>
      <c r="B6" s="6">
        <v>57.828378378378368</v>
      </c>
      <c r="C6" s="6">
        <v>28.720675675675675</v>
      </c>
      <c r="D6" s="6">
        <v>74</v>
      </c>
      <c r="E6" s="6">
        <v>62.241071428571438</v>
      </c>
      <c r="F6" s="6">
        <v>44.980892857142855</v>
      </c>
      <c r="G6" s="6">
        <v>56</v>
      </c>
      <c r="H6" s="6">
        <v>59.729230769230753</v>
      </c>
      <c r="I6" s="6">
        <v>35.725076923076927</v>
      </c>
      <c r="J6" s="6">
        <v>130</v>
      </c>
    </row>
    <row r="7" spans="1:10">
      <c r="A7" s="8" t="s">
        <v>25</v>
      </c>
      <c r="B7" s="6">
        <v>58.451428571428558</v>
      </c>
      <c r="C7" s="6">
        <v>42.512601626016256</v>
      </c>
      <c r="D7" s="6">
        <v>246</v>
      </c>
      <c r="E7" s="6">
        <v>61.541350210970442</v>
      </c>
      <c r="F7" s="6">
        <v>50.706390041493769</v>
      </c>
      <c r="G7" s="6">
        <v>241</v>
      </c>
      <c r="H7" s="6">
        <v>59.970746887966818</v>
      </c>
      <c r="I7" s="6">
        <v>46.56743326488705</v>
      </c>
      <c r="J7" s="6">
        <v>487</v>
      </c>
    </row>
    <row r="8" spans="1:10">
      <c r="A8" s="8" t="s">
        <v>29</v>
      </c>
      <c r="B8" s="6">
        <v>54.565806451612907</v>
      </c>
      <c r="C8" s="6">
        <v>10.837435897435897</v>
      </c>
      <c r="D8" s="6">
        <v>156</v>
      </c>
      <c r="E8" s="6">
        <v>62.829310344827569</v>
      </c>
      <c r="F8" s="6">
        <v>34.781590909090909</v>
      </c>
      <c r="G8" s="6">
        <v>176</v>
      </c>
      <c r="H8" s="6">
        <v>58.936170212765994</v>
      </c>
      <c r="I8" s="6">
        <v>23.530722891566267</v>
      </c>
      <c r="J8" s="6">
        <v>332</v>
      </c>
    </row>
    <row r="9" spans="1:10">
      <c r="A9" s="8" t="s">
        <v>39</v>
      </c>
      <c r="B9" s="6">
        <v>58.372500000000016</v>
      </c>
      <c r="C9" s="6">
        <v>33.310987654320989</v>
      </c>
      <c r="D9" s="6">
        <v>81</v>
      </c>
      <c r="E9" s="6">
        <v>64.202222222222204</v>
      </c>
      <c r="F9" s="6">
        <v>103.00417582417583</v>
      </c>
      <c r="G9" s="6">
        <v>91</v>
      </c>
      <c r="H9" s="6">
        <v>61.458823529411767</v>
      </c>
      <c r="I9" s="6">
        <v>70.18354651162791</v>
      </c>
      <c r="J9" s="6">
        <v>172</v>
      </c>
    </row>
    <row r="10" spans="1:10">
      <c r="A10" s="8" t="s">
        <v>41</v>
      </c>
      <c r="B10" s="6">
        <v>55.909448818897616</v>
      </c>
      <c r="C10" s="6">
        <v>136.08715384615383</v>
      </c>
      <c r="D10" s="6">
        <v>130</v>
      </c>
      <c r="E10" s="6">
        <v>63.819696969697006</v>
      </c>
      <c r="F10" s="6">
        <v>51.552105263157898</v>
      </c>
      <c r="G10" s="6">
        <v>133</v>
      </c>
      <c r="H10" s="6">
        <v>59.940926640926612</v>
      </c>
      <c r="I10" s="6">
        <v>93.337490494296574</v>
      </c>
      <c r="J10" s="6">
        <v>263</v>
      </c>
    </row>
    <row r="11" spans="1:10">
      <c r="A11" s="8" t="s">
        <v>1472</v>
      </c>
      <c r="B11" s="6">
        <v>58.183333333333337</v>
      </c>
      <c r="C11" s="6">
        <v>199.78166666666667</v>
      </c>
      <c r="D11" s="6">
        <v>6</v>
      </c>
      <c r="E11" s="6">
        <v>71.522222222222226</v>
      </c>
      <c r="F11" s="6">
        <v>79.453888888888898</v>
      </c>
      <c r="G11" s="6">
        <v>18</v>
      </c>
      <c r="H11" s="6">
        <v>68.187500000000014</v>
      </c>
      <c r="I11" s="6">
        <v>109.53583333333334</v>
      </c>
      <c r="J11" s="6">
        <v>24</v>
      </c>
    </row>
    <row r="12" spans="1:10">
      <c r="A12" s="8" t="s">
        <v>1464</v>
      </c>
      <c r="B12" s="6">
        <v>57.026200873362477</v>
      </c>
      <c r="C12" s="6">
        <v>51.74932178932179</v>
      </c>
      <c r="D12" s="6">
        <v>693</v>
      </c>
      <c r="E12" s="6">
        <v>62.931966053748255</v>
      </c>
      <c r="F12" s="6">
        <v>53.87511888111888</v>
      </c>
      <c r="G12" s="6">
        <v>715</v>
      </c>
      <c r="H12" s="6">
        <v>60.02144906743186</v>
      </c>
      <c r="I12" s="6">
        <v>52.828828124999994</v>
      </c>
      <c r="J12" s="6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413"/>
  <sheetViews>
    <sheetView topLeftCell="A642" workbookViewId="0">
      <selection activeCell="D1403" sqref="D1403"/>
    </sheetView>
  </sheetViews>
  <sheetFormatPr defaultRowHeight="13.8"/>
  <cols>
    <col min="1" max="2" width="16" customWidth="1"/>
    <col min="3" max="3" width="24.69921875" customWidth="1"/>
    <col min="4" max="14" width="16" customWidth="1"/>
    <col min="15" max="15" width="19.59765625" bestFit="1" customWidth="1"/>
    <col min="16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hidden="1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hidden="1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hidden="1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hidden="1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hidden="1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hidden="1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hidden="1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hidden="1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hidden="1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hidden="1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hidden="1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hidden="1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hidden="1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hidden="1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hidden="1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hidden="1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hidden="1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hidden="1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hidden="1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hidden="1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hidden="1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hidden="1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hidden="1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hidden="1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hidden="1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hidden="1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hidden="1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hidden="1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hidden="1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hidden="1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hidden="1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hidden="1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hidden="1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hidden="1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hidden="1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hidden="1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hidden="1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hidden="1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hidden="1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hidden="1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hidden="1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hidden="1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hidden="1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hidden="1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hidden="1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hidden="1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hidden="1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hidden="1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hidden="1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hidden="1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hidden="1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hidden="1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hidden="1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hidden="1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hidden="1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hidden="1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hidden="1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hidden="1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hidden="1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hidden="1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hidden="1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hidden="1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hidden="1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hidden="1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hidden="1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hidden="1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hidden="1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hidden="1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hidden="1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hidden="1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hidden="1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hidden="1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hidden="1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hidden="1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hidden="1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hidden="1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hidden="1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 hidden="1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hidden="1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hidden="1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hidden="1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hidden="1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hidden="1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hidden="1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hidden="1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hidden="1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hidden="1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hidden="1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hidden="1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hidden="1">
      <c r="A125" t="s">
        <v>155</v>
      </c>
      <c r="B125" s="2">
        <v>45807</v>
      </c>
      <c r="C125" t="s">
        <v>17</v>
      </c>
      <c r="D125" t="s">
        <v>23</v>
      </c>
      <c r="E125" t="s">
        <v>1486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hidden="1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hidden="1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hidden="1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hidden="1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hidden="1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hidden="1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hidden="1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hidden="1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hidden="1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hidden="1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hidden="1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hidden="1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hidden="1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hidden="1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hidden="1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hidden="1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hidden="1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hidden="1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hidden="1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hidden="1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hidden="1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hidden="1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 hidden="1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hidden="1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hidden="1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 hidden="1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hidden="1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hidden="1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hidden="1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hidden="1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 hidden="1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hidden="1">
      <c r="A172" t="s">
        <v>202</v>
      </c>
      <c r="B172" s="2">
        <v>45806</v>
      </c>
      <c r="C172" t="s">
        <v>17</v>
      </c>
      <c r="D172" t="s">
        <v>28</v>
      </c>
      <c r="E172" t="s">
        <v>1486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hidden="1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hidden="1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hidden="1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hidden="1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hidden="1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hidden="1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hidden="1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hidden="1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hidden="1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hidden="1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hidden="1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hidden="1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hidden="1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hidden="1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hidden="1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hidden="1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hidden="1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hidden="1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hidden="1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hidden="1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hidden="1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hidden="1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hidden="1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hidden="1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hidden="1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hidden="1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hidden="1">
      <c r="A212" t="s">
        <v>242</v>
      </c>
      <c r="B212" s="2">
        <v>45739</v>
      </c>
      <c r="C212" t="s">
        <v>17</v>
      </c>
      <c r="D212" t="s">
        <v>28</v>
      </c>
      <c r="E212" t="s">
        <v>1486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hidden="1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hidden="1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hidden="1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hidden="1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 hidden="1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hidden="1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hidden="1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hidden="1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hidden="1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hidden="1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hidden="1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hidden="1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hidden="1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hidden="1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hidden="1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hidden="1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hidden="1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hidden="1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hidden="1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hidden="1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hidden="1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hidden="1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hidden="1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hidden="1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hidden="1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hidden="1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hidden="1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hidden="1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hidden="1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hidden="1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hidden="1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hidden="1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hidden="1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hidden="1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hidden="1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hidden="1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hidden="1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hidden="1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hidden="1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hidden="1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hidden="1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hidden="1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hidden="1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hidden="1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hidden="1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hidden="1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hidden="1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hidden="1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hidden="1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hidden="1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hidden="1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hidden="1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hidden="1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hidden="1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hidden="1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hidden="1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hidden="1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1486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hidden="1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hidden="1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hidden="1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hidden="1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hidden="1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hidden="1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hidden="1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hidden="1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hidden="1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hidden="1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hidden="1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hidden="1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hidden="1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hidden="1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hidden="1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hidden="1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hidden="1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hidden="1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hidden="1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hidden="1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hidden="1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hidden="1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hidden="1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hidden="1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hidden="1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hidden="1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hidden="1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hidden="1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hidden="1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hidden="1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hidden="1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hidden="1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hidden="1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hidden="1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hidden="1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hidden="1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hidden="1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hidden="1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hidden="1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hidden="1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hidden="1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hidden="1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hidden="1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hidden="1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hidden="1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hidden="1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hidden="1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hidden="1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hidden="1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hidden="1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hidden="1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hidden="1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hidden="1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hidden="1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hidden="1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hidden="1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hidden="1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hidden="1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hidden="1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hidden="1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hidden="1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hidden="1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hidden="1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hidden="1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hidden="1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hidden="1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hidden="1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hidden="1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hidden="1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hidden="1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hidden="1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hidden="1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hidden="1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hidden="1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hidden="1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hidden="1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hidden="1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hidden="1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hidden="1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hidden="1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hidden="1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hidden="1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hidden="1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hidden="1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hidden="1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hidden="1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hidden="1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hidden="1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hidden="1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hidden="1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hidden="1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hidden="1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hidden="1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hidden="1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hidden="1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hidden="1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hidden="1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hidden="1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hidden="1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hidden="1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hidden="1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hidden="1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hidden="1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hidden="1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hidden="1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hidden="1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hidden="1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hidden="1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hidden="1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hidden="1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hidden="1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hidden="1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1486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hidden="1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hidden="1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hidden="1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hidden="1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hidden="1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1486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hidden="1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1486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hidden="1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hidden="1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hidden="1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hidden="1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hidden="1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hidden="1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hidden="1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hidden="1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hidden="1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hidden="1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hidden="1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hidden="1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hidden="1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hidden="1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hidden="1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1486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hidden="1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hidden="1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hidden="1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hidden="1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hidden="1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hidden="1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hidden="1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hidden="1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hidden="1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hidden="1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hidden="1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hidden="1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hidden="1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hidden="1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hidden="1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hidden="1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hidden="1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hidden="1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hidden="1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hidden="1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hidden="1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1486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hidden="1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hidden="1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hidden="1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hidden="1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hidden="1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hidden="1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hidden="1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hidden="1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hidden="1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hidden="1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hidden="1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hidden="1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hidden="1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hidden="1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hidden="1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hidden="1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hidden="1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hidden="1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hidden="1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hidden="1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hidden="1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hidden="1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hidden="1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hidden="1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hidden="1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 hidden="1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hidden="1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hidden="1">
      <c r="A552" t="s">
        <v>582</v>
      </c>
      <c r="B552" s="2">
        <v>45699</v>
      </c>
      <c r="C552" t="s">
        <v>17</v>
      </c>
      <c r="D552" t="s">
        <v>28</v>
      </c>
      <c r="E552" t="s">
        <v>1486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hidden="1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hidden="1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hidden="1">
      <c r="A556" t="s">
        <v>586</v>
      </c>
      <c r="B556" s="2">
        <v>45699</v>
      </c>
      <c r="C556" t="s">
        <v>17</v>
      </c>
      <c r="D556" t="s">
        <v>32</v>
      </c>
      <c r="E556" t="s">
        <v>1486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hidden="1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hidden="1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hidden="1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hidden="1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hidden="1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hidden="1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hidden="1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hidden="1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hidden="1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hidden="1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hidden="1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hidden="1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hidden="1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hidden="1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hidden="1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hidden="1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hidden="1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hidden="1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hidden="1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hidden="1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hidden="1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hidden="1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hidden="1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hidden="1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hidden="1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hidden="1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hidden="1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hidden="1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hidden="1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hidden="1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hidden="1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hidden="1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hidden="1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hidden="1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hidden="1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hidden="1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hidden="1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hidden="1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hidden="1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hidden="1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hidden="1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hidden="1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hidden="1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hidden="1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hidden="1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hidden="1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hidden="1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hidden="1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hidden="1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hidden="1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hidden="1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hidden="1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hidden="1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hidden="1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hidden="1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hidden="1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 hidden="1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hidden="1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hidden="1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1486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hidden="1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hidden="1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hidden="1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hidden="1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hidden="1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hidden="1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hidden="1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hidden="1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hidden="1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hidden="1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hidden="1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hidden="1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hidden="1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hidden="1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hidden="1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hidden="1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hidden="1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hidden="1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hidden="1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hidden="1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hidden="1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hidden="1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hidden="1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hidden="1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hidden="1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hidden="1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hidden="1">
      <c r="A674" t="s">
        <v>704</v>
      </c>
      <c r="B674" s="2">
        <v>45667</v>
      </c>
      <c r="C674" t="s">
        <v>17</v>
      </c>
      <c r="D674" t="s">
        <v>23</v>
      </c>
      <c r="E674" t="s">
        <v>1486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hidden="1">
      <c r="A675" t="s">
        <v>705</v>
      </c>
      <c r="B675" s="2">
        <v>45737</v>
      </c>
      <c r="C675" t="s">
        <v>17</v>
      </c>
      <c r="D675" t="s">
        <v>32</v>
      </c>
      <c r="E675" t="s">
        <v>1486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hidden="1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hidden="1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hidden="1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hidden="1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hidden="1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hidden="1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hidden="1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hidden="1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hidden="1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hidden="1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1486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hidden="1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hidden="1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hidden="1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hidden="1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1486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hidden="1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1486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hidden="1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1486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hidden="1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t="15" hidden="1">
      <c r="A767" t="s">
        <v>798</v>
      </c>
      <c r="B767" s="2">
        <v>45671</v>
      </c>
      <c r="C767" t="s">
        <v>723</v>
      </c>
      <c r="D767" t="s">
        <v>23</v>
      </c>
      <c r="E767" s="12" t="s">
        <v>1486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hidden="1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hidden="1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hidden="1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hidden="1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hidden="1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hidden="1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hidden="1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hidden="1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hidden="1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hidden="1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t="15" hidden="1">
      <c r="A874" t="s">
        <v>905</v>
      </c>
      <c r="B874" s="2">
        <v>45769</v>
      </c>
      <c r="C874" t="s">
        <v>723</v>
      </c>
      <c r="D874" t="s">
        <v>23</v>
      </c>
      <c r="E874" s="12" t="s">
        <v>1486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hidden="1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1486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hidden="1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hidden="1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hidden="1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1486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hidden="1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hidden="1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1486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1486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hidden="1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hidden="1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hidden="1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1486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hidden="1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1486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t="15" hidden="1">
      <c r="A1049" t="s">
        <v>1080</v>
      </c>
      <c r="B1049" s="2">
        <v>45708</v>
      </c>
      <c r="C1049" t="s">
        <v>723</v>
      </c>
      <c r="D1049" t="s">
        <v>28</v>
      </c>
      <c r="E1049" s="12" t="s">
        <v>1486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hidden="1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hidden="1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 hidden="1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hidden="1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hidden="1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hidden="1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1486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hidden="1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hidden="1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hidden="1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1486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hidden="1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t="15" hidden="1">
      <c r="A1178" t="s">
        <v>1209</v>
      </c>
      <c r="B1178" s="2">
        <v>45692</v>
      </c>
      <c r="C1178" t="s">
        <v>723</v>
      </c>
      <c r="D1178" t="s">
        <v>28</v>
      </c>
      <c r="E1178" s="12" t="s">
        <v>1486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hidden="1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t="15" hidden="1">
      <c r="A1190" t="s">
        <v>1221</v>
      </c>
      <c r="B1190" s="2">
        <v>45763</v>
      </c>
      <c r="C1190" t="s">
        <v>723</v>
      </c>
      <c r="D1190" t="s">
        <v>28</v>
      </c>
      <c r="E1190" s="12" t="s">
        <v>1486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t="15" hidden="1">
      <c r="A1197" t="s">
        <v>1228</v>
      </c>
      <c r="B1197" s="2">
        <v>45710</v>
      </c>
      <c r="C1197" t="s">
        <v>723</v>
      </c>
      <c r="D1197" t="s">
        <v>18</v>
      </c>
      <c r="E1197" s="12" t="s">
        <v>1486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hidden="1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hidden="1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hidden="1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t="15" hidden="1">
      <c r="A1229" t="s">
        <v>1260</v>
      </c>
      <c r="B1229" s="2">
        <v>45739</v>
      </c>
      <c r="C1229" t="s">
        <v>723</v>
      </c>
      <c r="D1229" t="s">
        <v>28</v>
      </c>
      <c r="E1229" s="12" t="s">
        <v>1486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1486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hidden="1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1486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hidden="1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hidden="1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1486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t="15" hidden="1">
      <c r="A1272" t="s">
        <v>1303</v>
      </c>
      <c r="B1272" s="2">
        <v>45691</v>
      </c>
      <c r="C1272" t="s">
        <v>723</v>
      </c>
      <c r="D1272" t="s">
        <v>23</v>
      </c>
      <c r="E1272" s="12" t="s">
        <v>1486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hidden="1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hidden="1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1486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hidden="1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hidden="1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1486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t="15" hidden="1">
      <c r="A1336" t="s">
        <v>1367</v>
      </c>
      <c r="B1336" s="2">
        <v>45763</v>
      </c>
      <c r="C1336" t="s">
        <v>723</v>
      </c>
      <c r="D1336" t="s">
        <v>32</v>
      </c>
      <c r="E1336" s="12" t="s">
        <v>1486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hidden="1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1486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hidden="1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hidden="1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1486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 hidden="1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 hidden="1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 hidden="1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 hidden="1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 hidden="1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 hidden="1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  <row r="1410" spans="1:16" hidden="1">
      <c r="M1410">
        <f>COUNTIFS(C2:C1409,"Treatment",M2:M1409,1)
/COUNTIF(C2:C1409,"Treatment")</f>
        <v>0.16083916083916083</v>
      </c>
    </row>
    <row r="1411" spans="1:16" hidden="1">
      <c r="I1411">
        <f>COUNTIFS(C2:C1409,"Treatment",I2:I1409,1)
/COUNTIF(C2:C1409,"Treatment")</f>
        <v>0.29090909090909089</v>
      </c>
      <c r="J1411">
        <f>COUNTIFS(C2:C1409,"Treatment",J2:J1409,1)
/COUNTIF(C2:C1409,"Treatment")</f>
        <v>0.21258741258741259</v>
      </c>
      <c r="K1411">
        <f>COUNTIFS(C2:C1409,"Control",K2:K1409,1)
/COUNTIF(C2:C1409,"Control")</f>
        <v>3.1746031746031744E-2</v>
      </c>
      <c r="M1411" s="2"/>
      <c r="N1411">
        <f>COUNTIFS(C2:C1409,"Treatment",N2:N1409,1)
/COUNTIF(C2:C1409,"Treatment")</f>
        <v>4.1958041958041958E-3</v>
      </c>
      <c r="O1411">
        <f>AVERAGEIFS(O2:O1409,C2:C1409,"Treatment",K2:K1409,1)</f>
        <v>6.4</v>
      </c>
      <c r="P1411">
        <f>AVERAGEIFS(P2:P1409,C2:C1409,"Treatment")</f>
        <v>62.931966053748233</v>
      </c>
    </row>
    <row r="1412" spans="1:16" hidden="1">
      <c r="I1412">
        <f>COUNTIFS(C2:C1409,"Control",I2:I1409,1)
/COUNTIF(C2:C1409,"Control")</f>
        <v>0.25108225108225107</v>
      </c>
      <c r="J1412">
        <f>COUNTIFS(C2:C1409,"Control",J2:J1409,1)
/COUNTIF(C2:C1409,"Control")</f>
        <v>0.15584415584415584</v>
      </c>
      <c r="K1412">
        <f>COUNTIFS(C2:C1409,"Treatment",K2:K1409,1)
/COUNTIF(C2:C1409,"Treatment")</f>
        <v>6.9930069930069935E-2</v>
      </c>
      <c r="L1412" s="6">
        <f>SUMIFS(L2:L1409,C2:C1409,"Control")
/COUNTIF(C2:C1409,"Control")</f>
        <v>51.74932178932179</v>
      </c>
      <c r="M1412" s="6">
        <f>COUNTIFS(C2:C1409,"Control",M2:M1409,1)
/COUNTIF(C2:C1409,"Control")</f>
        <v>9.2352092352092352E-2</v>
      </c>
      <c r="N1412">
        <f>COUNTIFS(C2:C1409,"Control",N2:N1409,1)
/COUNTIF(C2:C1409,"Control")</f>
        <v>0</v>
      </c>
      <c r="O1412">
        <f>AVERAGEIFS(O2:O1409,C2:C1409,"Control",K2:K1409,1)</f>
        <v>8.8636363636363633</v>
      </c>
      <c r="P1412">
        <f>AVERAGEIFS(P2:P1409,C2:C1409,"Control")</f>
        <v>57.026200873362491</v>
      </c>
    </row>
    <row r="1413" spans="1:16">
      <c r="O1413">
        <f>COUNTBLANK(O2:O1409)</f>
        <v>1336</v>
      </c>
    </row>
  </sheetData>
  <autoFilter ref="A1:P1412" xr:uid="{00000000-0001-0000-0000-000000000000}">
    <filterColumn colId="2">
      <filters blank="1">
        <filter val="Control"/>
      </filters>
    </filterColumn>
    <filterColumn colId="3">
      <filters>
        <filter val="North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0F4A-81B5-419E-BA5F-4DB7E8411710}">
  <dimension ref="A1:F716"/>
  <sheetViews>
    <sheetView workbookViewId="0"/>
  </sheetViews>
  <sheetFormatPr defaultRowHeight="13.8"/>
  <cols>
    <col min="1" max="1" width="15.69921875" bestFit="1" customWidth="1"/>
    <col min="2" max="2" width="16.59765625" customWidth="1"/>
    <col min="4" max="4" width="41.19921875" bestFit="1" customWidth="1"/>
    <col min="5" max="5" width="23.59765625" bestFit="1" customWidth="1"/>
    <col min="6" max="6" width="26" bestFit="1" customWidth="1"/>
  </cols>
  <sheetData>
    <row r="1" spans="1:6" ht="55.2">
      <c r="A1" s="1" t="s">
        <v>1473</v>
      </c>
      <c r="B1" s="1" t="s">
        <v>1474</v>
      </c>
      <c r="D1" t="s">
        <v>1475</v>
      </c>
    </row>
    <row r="2" spans="1:6" ht="14.4" thickBot="1">
      <c r="A2">
        <v>0</v>
      </c>
      <c r="B2">
        <v>0</v>
      </c>
    </row>
    <row r="3" spans="1:6" ht="14.4">
      <c r="A3">
        <v>0</v>
      </c>
      <c r="B3">
        <v>0</v>
      </c>
      <c r="D3" s="11"/>
      <c r="E3" s="11" t="s">
        <v>1473</v>
      </c>
      <c r="F3" s="11" t="s">
        <v>1474</v>
      </c>
    </row>
    <row r="4" spans="1:6">
      <c r="A4">
        <v>0</v>
      </c>
      <c r="B4">
        <v>0</v>
      </c>
      <c r="D4" s="9" t="s">
        <v>1476</v>
      </c>
      <c r="E4" s="9">
        <v>3.1746031746031744E-2</v>
      </c>
      <c r="F4" s="9">
        <v>6.9930069930069935E-2</v>
      </c>
    </row>
    <row r="5" spans="1:6">
      <c r="A5">
        <v>0</v>
      </c>
      <c r="B5">
        <v>0</v>
      </c>
      <c r="D5" s="9" t="s">
        <v>1477</v>
      </c>
      <c r="E5" s="9">
        <v>3.0782640609230204E-2</v>
      </c>
      <c r="F5" s="9">
        <v>6.513094748388866E-2</v>
      </c>
    </row>
    <row r="6" spans="1:6">
      <c r="A6">
        <v>0</v>
      </c>
      <c r="B6">
        <v>0</v>
      </c>
      <c r="D6" s="9" t="s">
        <v>1478</v>
      </c>
      <c r="E6" s="9">
        <v>693</v>
      </c>
      <c r="F6" s="9">
        <v>715</v>
      </c>
    </row>
    <row r="7" spans="1:6">
      <c r="A7">
        <v>0</v>
      </c>
      <c r="B7">
        <v>0</v>
      </c>
      <c r="D7" s="9" t="s">
        <v>1479</v>
      </c>
      <c r="E7" s="9">
        <v>0</v>
      </c>
      <c r="F7" s="9"/>
    </row>
    <row r="8" spans="1:6">
      <c r="A8">
        <v>0</v>
      </c>
      <c r="B8">
        <v>0</v>
      </c>
      <c r="D8" s="9" t="s">
        <v>1480</v>
      </c>
      <c r="E8" s="9">
        <v>1269</v>
      </c>
      <c r="F8" s="9"/>
    </row>
    <row r="9" spans="1:6">
      <c r="A9">
        <v>0</v>
      </c>
      <c r="B9">
        <v>0</v>
      </c>
      <c r="D9" s="9" t="s">
        <v>1481</v>
      </c>
      <c r="E9" s="9">
        <v>-3.2801490050026385</v>
      </c>
      <c r="F9" s="9"/>
    </row>
    <row r="10" spans="1:6">
      <c r="A10">
        <v>0</v>
      </c>
      <c r="B10">
        <v>0</v>
      </c>
      <c r="D10" s="9" t="s">
        <v>1482</v>
      </c>
      <c r="E10" s="9">
        <v>5.3284668418793831E-4</v>
      </c>
      <c r="F10" s="9"/>
    </row>
    <row r="11" spans="1:6">
      <c r="A11">
        <v>0</v>
      </c>
      <c r="B11">
        <v>0</v>
      </c>
      <c r="D11" s="9" t="s">
        <v>1483</v>
      </c>
      <c r="E11" s="9">
        <v>1.646055273058157</v>
      </c>
      <c r="F11" s="9"/>
    </row>
    <row r="12" spans="1:6">
      <c r="A12">
        <v>0</v>
      </c>
      <c r="B12">
        <v>1</v>
      </c>
      <c r="D12" s="9" t="s">
        <v>1484</v>
      </c>
      <c r="E12" s="9">
        <v>1.0656933683758766E-3</v>
      </c>
      <c r="F12" s="9"/>
    </row>
    <row r="13" spans="1:6" ht="14.4" thickBot="1">
      <c r="A13">
        <v>0</v>
      </c>
      <c r="B13">
        <v>0</v>
      </c>
      <c r="D13" s="10" t="s">
        <v>1485</v>
      </c>
      <c r="E13" s="10">
        <v>1.961835140575849</v>
      </c>
      <c r="F13" s="10"/>
    </row>
    <row r="14" spans="1:6">
      <c r="A14">
        <v>0</v>
      </c>
      <c r="B14">
        <v>0</v>
      </c>
    </row>
    <row r="15" spans="1:6">
      <c r="A15">
        <v>0</v>
      </c>
      <c r="B15">
        <v>0</v>
      </c>
    </row>
    <row r="16" spans="1:6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1</v>
      </c>
    </row>
    <row r="25" spans="1:2">
      <c r="A25">
        <v>0</v>
      </c>
      <c r="B25">
        <v>1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0</v>
      </c>
      <c r="B39">
        <v>1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1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1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1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1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1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1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1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1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1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1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1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1</v>
      </c>
    </row>
    <row r="142" spans="1:2">
      <c r="A142">
        <v>0</v>
      </c>
      <c r="B142">
        <v>0</v>
      </c>
    </row>
    <row r="143" spans="1:2">
      <c r="A143">
        <v>1</v>
      </c>
      <c r="B143">
        <v>0</v>
      </c>
    </row>
    <row r="144" spans="1:2">
      <c r="A144">
        <v>0</v>
      </c>
      <c r="B144">
        <v>1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1</v>
      </c>
    </row>
    <row r="148" spans="1:2">
      <c r="A148">
        <v>0</v>
      </c>
      <c r="B148">
        <v>1</v>
      </c>
    </row>
    <row r="149" spans="1:2">
      <c r="A149">
        <v>0</v>
      </c>
      <c r="B149">
        <v>0</v>
      </c>
    </row>
    <row r="150" spans="1:2">
      <c r="A150">
        <v>1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1</v>
      </c>
    </row>
    <row r="167" spans="1:2">
      <c r="A167">
        <v>1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1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1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1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1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1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1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1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0</v>
      </c>
      <c r="B250">
        <v>0</v>
      </c>
    </row>
    <row r="251" spans="1:2">
      <c r="A251">
        <v>0</v>
      </c>
      <c r="B251">
        <v>0</v>
      </c>
    </row>
    <row r="252" spans="1:2">
      <c r="A252">
        <v>1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1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1</v>
      </c>
    </row>
    <row r="260" spans="1:2">
      <c r="A260">
        <v>0</v>
      </c>
      <c r="B260">
        <v>0</v>
      </c>
    </row>
    <row r="261" spans="1:2">
      <c r="A261">
        <v>0</v>
      </c>
      <c r="B261">
        <v>0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0</v>
      </c>
      <c r="B269">
        <v>0</v>
      </c>
    </row>
    <row r="270" spans="1:2">
      <c r="A270">
        <v>0</v>
      </c>
      <c r="B270">
        <v>0</v>
      </c>
    </row>
    <row r="271" spans="1:2">
      <c r="A271">
        <v>0</v>
      </c>
      <c r="B271">
        <v>0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0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1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1</v>
      </c>
      <c r="B304">
        <v>1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1</v>
      </c>
    </row>
    <row r="309" spans="1:2">
      <c r="A309">
        <v>1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0</v>
      </c>
      <c r="B323">
        <v>1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1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1</v>
      </c>
      <c r="B336">
        <v>1</v>
      </c>
    </row>
    <row r="337" spans="1:2">
      <c r="A337">
        <v>1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1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1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0</v>
      </c>
      <c r="B377">
        <v>0</v>
      </c>
    </row>
    <row r="378" spans="1:2">
      <c r="A378">
        <v>0</v>
      </c>
      <c r="B378">
        <v>0</v>
      </c>
    </row>
    <row r="379" spans="1:2">
      <c r="A379">
        <v>0</v>
      </c>
      <c r="B379">
        <v>0</v>
      </c>
    </row>
    <row r="380" spans="1:2">
      <c r="A380">
        <v>0</v>
      </c>
      <c r="B380">
        <v>0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0</v>
      </c>
      <c r="B383">
        <v>0</v>
      </c>
    </row>
    <row r="384" spans="1:2">
      <c r="A384">
        <v>0</v>
      </c>
      <c r="B384">
        <v>0</v>
      </c>
    </row>
    <row r="385" spans="1:2">
      <c r="A385">
        <v>0</v>
      </c>
      <c r="B385">
        <v>1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0</v>
      </c>
      <c r="B388">
        <v>1</v>
      </c>
    </row>
    <row r="389" spans="1:2">
      <c r="A389">
        <v>0</v>
      </c>
      <c r="B389">
        <v>1</v>
      </c>
    </row>
    <row r="390" spans="1:2">
      <c r="A390">
        <v>0</v>
      </c>
      <c r="B390">
        <v>0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0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1</v>
      </c>
      <c r="B412">
        <v>0</v>
      </c>
    </row>
    <row r="413" spans="1:2">
      <c r="A413">
        <v>0</v>
      </c>
      <c r="B413">
        <v>0</v>
      </c>
    </row>
    <row r="414" spans="1:2">
      <c r="A414">
        <v>0</v>
      </c>
      <c r="B414">
        <v>0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0</v>
      </c>
      <c r="B417">
        <v>0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0</v>
      </c>
      <c r="B422">
        <v>0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1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1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0</v>
      </c>
      <c r="B449">
        <v>0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1</v>
      </c>
    </row>
    <row r="454" spans="1:2">
      <c r="A454">
        <v>0</v>
      </c>
      <c r="B454">
        <v>0</v>
      </c>
    </row>
    <row r="455" spans="1:2">
      <c r="A455">
        <v>0</v>
      </c>
      <c r="B455">
        <v>0</v>
      </c>
    </row>
    <row r="456" spans="1:2">
      <c r="A456">
        <v>0</v>
      </c>
      <c r="B456">
        <v>1</v>
      </c>
    </row>
    <row r="457" spans="1:2">
      <c r="A457">
        <v>0</v>
      </c>
      <c r="B457">
        <v>0</v>
      </c>
    </row>
    <row r="458" spans="1:2">
      <c r="A458">
        <v>0</v>
      </c>
      <c r="B458">
        <v>1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0</v>
      </c>
      <c r="B463">
        <v>0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0</v>
      </c>
      <c r="B469">
        <v>0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1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1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1</v>
      </c>
      <c r="B502">
        <v>0</v>
      </c>
    </row>
    <row r="503" spans="1:2">
      <c r="A503">
        <v>0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0</v>
      </c>
      <c r="B516">
        <v>0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0</v>
      </c>
      <c r="B522">
        <v>0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0</v>
      </c>
      <c r="B527">
        <v>0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0</v>
      </c>
      <c r="B532">
        <v>1</v>
      </c>
    </row>
    <row r="533" spans="1:2">
      <c r="A533">
        <v>0</v>
      </c>
      <c r="B533">
        <v>1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0</v>
      </c>
      <c r="B536">
        <v>0</v>
      </c>
    </row>
    <row r="537" spans="1:2">
      <c r="A537">
        <v>0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0</v>
      </c>
      <c r="B541">
        <v>0</v>
      </c>
    </row>
    <row r="542" spans="1:2">
      <c r="A542">
        <v>0</v>
      </c>
      <c r="B542">
        <v>0</v>
      </c>
    </row>
    <row r="543" spans="1:2">
      <c r="A543">
        <v>0</v>
      </c>
      <c r="B543">
        <v>0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>
        <v>0</v>
      </c>
      <c r="B547">
        <v>0</v>
      </c>
    </row>
    <row r="548" spans="1:2">
      <c r="A548">
        <v>0</v>
      </c>
      <c r="B548">
        <v>1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1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0</v>
      </c>
      <c r="B567">
        <v>1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0</v>
      </c>
      <c r="B576">
        <v>0</v>
      </c>
    </row>
    <row r="577" spans="1:2">
      <c r="A577">
        <v>0</v>
      </c>
      <c r="B577">
        <v>0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0</v>
      </c>
      <c r="B582">
        <v>0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0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1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0</v>
      </c>
      <c r="B607">
        <v>0</v>
      </c>
    </row>
    <row r="608" spans="1:2">
      <c r="A608">
        <v>0</v>
      </c>
      <c r="B608">
        <v>1</v>
      </c>
    </row>
    <row r="609" spans="1:2">
      <c r="A609">
        <v>0</v>
      </c>
      <c r="B609">
        <v>0</v>
      </c>
    </row>
    <row r="610" spans="1:2">
      <c r="A610">
        <v>0</v>
      </c>
      <c r="B610">
        <v>0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0</v>
      </c>
      <c r="B620">
        <v>0</v>
      </c>
    </row>
    <row r="621" spans="1:2">
      <c r="A621">
        <v>0</v>
      </c>
      <c r="B621">
        <v>0</v>
      </c>
    </row>
    <row r="622" spans="1:2">
      <c r="A622">
        <v>0</v>
      </c>
      <c r="B622">
        <v>1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0</v>
      </c>
      <c r="B627">
        <v>0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0</v>
      </c>
      <c r="B630">
        <v>1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1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0</v>
      </c>
      <c r="B636">
        <v>0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0</v>
      </c>
      <c r="B652">
        <v>0</v>
      </c>
    </row>
    <row r="653" spans="1:2">
      <c r="A653">
        <v>0</v>
      </c>
      <c r="B653">
        <v>0</v>
      </c>
    </row>
    <row r="654" spans="1:2">
      <c r="A654">
        <v>0</v>
      </c>
      <c r="B654">
        <v>0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0</v>
      </c>
      <c r="B658">
        <v>0</v>
      </c>
    </row>
    <row r="659" spans="1:2">
      <c r="A659">
        <v>0</v>
      </c>
      <c r="B659">
        <v>0</v>
      </c>
    </row>
    <row r="660" spans="1:2">
      <c r="A660">
        <v>0</v>
      </c>
      <c r="B660">
        <v>0</v>
      </c>
    </row>
    <row r="661" spans="1:2">
      <c r="A661">
        <v>1</v>
      </c>
      <c r="B661">
        <v>1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0</v>
      </c>
      <c r="B666">
        <v>0</v>
      </c>
    </row>
    <row r="667" spans="1:2">
      <c r="A667">
        <v>0</v>
      </c>
      <c r="B667">
        <v>0</v>
      </c>
    </row>
    <row r="668" spans="1:2">
      <c r="A668">
        <v>0</v>
      </c>
      <c r="B668">
        <v>0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0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0</v>
      </c>
      <c r="B689">
        <v>0</v>
      </c>
    </row>
    <row r="690" spans="1:2">
      <c r="A690">
        <v>0</v>
      </c>
      <c r="B690">
        <v>1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0</v>
      </c>
      <c r="B694">
        <v>0</v>
      </c>
    </row>
    <row r="695" spans="1:2">
      <c r="B695">
        <v>0</v>
      </c>
    </row>
    <row r="696" spans="1:2">
      <c r="B696">
        <v>0</v>
      </c>
    </row>
    <row r="697" spans="1:2">
      <c r="B697">
        <v>0</v>
      </c>
    </row>
    <row r="698" spans="1:2">
      <c r="B698">
        <v>0</v>
      </c>
    </row>
    <row r="699" spans="1:2">
      <c r="B699">
        <v>0</v>
      </c>
    </row>
    <row r="700" spans="1:2">
      <c r="B700">
        <v>0</v>
      </c>
    </row>
    <row r="701" spans="1:2">
      <c r="B701">
        <v>0</v>
      </c>
    </row>
    <row r="702" spans="1:2">
      <c r="B702">
        <v>0</v>
      </c>
    </row>
    <row r="703" spans="1:2">
      <c r="B703">
        <v>0</v>
      </c>
    </row>
    <row r="704" spans="1:2">
      <c r="B704">
        <v>0</v>
      </c>
    </row>
    <row r="705" spans="2:2">
      <c r="B705">
        <v>0</v>
      </c>
    </row>
    <row r="706" spans="2:2">
      <c r="B706">
        <v>0</v>
      </c>
    </row>
    <row r="707" spans="2:2">
      <c r="B707">
        <v>1</v>
      </c>
    </row>
    <row r="708" spans="2:2">
      <c r="B708">
        <v>0</v>
      </c>
    </row>
    <row r="709" spans="2:2">
      <c r="B709">
        <v>0</v>
      </c>
    </row>
    <row r="710" spans="2:2">
      <c r="B710">
        <v>0</v>
      </c>
    </row>
    <row r="711" spans="2:2">
      <c r="B711">
        <v>0</v>
      </c>
    </row>
    <row r="712" spans="2:2">
      <c r="B712">
        <v>0</v>
      </c>
    </row>
    <row r="713" spans="2:2">
      <c r="B713">
        <v>0</v>
      </c>
    </row>
    <row r="714" spans="2:2">
      <c r="B714">
        <v>0</v>
      </c>
    </row>
    <row r="715" spans="2:2">
      <c r="B715">
        <v>0</v>
      </c>
    </row>
    <row r="716" spans="2:2">
      <c r="B7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6DFB-35CB-46F9-9451-3BF65D2739D0}">
  <dimension ref="A1:C12"/>
  <sheetViews>
    <sheetView tabSelected="1" workbookViewId="0">
      <selection activeCell="D13" sqref="D13"/>
    </sheetView>
  </sheetViews>
  <sheetFormatPr defaultRowHeight="13.8"/>
  <cols>
    <col min="1" max="1" width="42.5" customWidth="1"/>
    <col min="2" max="2" width="39.296875" customWidth="1"/>
    <col min="3" max="3" width="42.69921875" customWidth="1"/>
  </cols>
  <sheetData>
    <row r="1" spans="1:3" ht="27.6">
      <c r="A1" s="4" t="s">
        <v>1451</v>
      </c>
      <c r="B1" s="4" t="s">
        <v>17</v>
      </c>
      <c r="C1" s="4" t="s">
        <v>723</v>
      </c>
    </row>
    <row r="2" spans="1:3" ht="26.4" customHeight="1">
      <c r="A2" s="5" t="s">
        <v>1452</v>
      </c>
      <c r="B2" s="5">
        <v>693</v>
      </c>
      <c r="C2" s="5">
        <v>715</v>
      </c>
    </row>
    <row r="3" spans="1:3" ht="24.6" customHeight="1">
      <c r="A3" s="5" t="s">
        <v>1453</v>
      </c>
      <c r="B3">
        <v>0.63636363636363635</v>
      </c>
      <c r="C3" s="5">
        <v>0.72587412587412592</v>
      </c>
    </row>
    <row r="4" spans="1:3" ht="30" customHeight="1">
      <c r="A4" s="5" t="s">
        <v>1454</v>
      </c>
      <c r="B4" s="5">
        <v>0.25108225108225107</v>
      </c>
      <c r="C4" s="5">
        <v>0.29090909090909089</v>
      </c>
    </row>
    <row r="5" spans="1:3" ht="33.6" customHeight="1">
      <c r="A5" s="5" t="s">
        <v>1455</v>
      </c>
      <c r="B5" s="5">
        <v>0.15584415584415584</v>
      </c>
      <c r="C5" s="5">
        <v>0.21258741258741259</v>
      </c>
    </row>
    <row r="6" spans="1:3" ht="31.8" customHeight="1">
      <c r="A6" s="5" t="s">
        <v>1456</v>
      </c>
      <c r="B6" s="5">
        <v>3.1746031746031744E-2</v>
      </c>
      <c r="C6" s="5">
        <v>6.9930069930069935E-2</v>
      </c>
    </row>
    <row r="7" spans="1:3" ht="34.200000000000003" customHeight="1">
      <c r="A7" s="5" t="s">
        <v>1457</v>
      </c>
      <c r="B7" s="5">
        <v>51.74932178932179</v>
      </c>
      <c r="C7" s="5">
        <v>53.875118881118873</v>
      </c>
    </row>
    <row r="8" spans="1:3" ht="43.8" customHeight="1">
      <c r="A8" s="5" t="s">
        <v>1458</v>
      </c>
      <c r="B8" s="5">
        <v>1630.1</v>
      </c>
      <c r="C8" s="5">
        <v>770.41</v>
      </c>
    </row>
    <row r="9" spans="1:3" ht="33.6" customHeight="1">
      <c r="A9" s="5" t="s">
        <v>1459</v>
      </c>
      <c r="B9" s="5">
        <v>0</v>
      </c>
      <c r="C9" s="5">
        <v>4.1958041958041958E-3</v>
      </c>
    </row>
    <row r="10" spans="1:3" ht="39" customHeight="1">
      <c r="A10" s="5" t="s">
        <v>1460</v>
      </c>
      <c r="B10" s="5">
        <v>9.2352092352092352E-2</v>
      </c>
      <c r="C10" s="5">
        <v>0.16083916100000001</v>
      </c>
    </row>
    <row r="11" spans="1:3" ht="56.4" customHeight="1">
      <c r="A11" s="5" t="s">
        <v>1461</v>
      </c>
      <c r="B11" s="5">
        <v>57.026200873362491</v>
      </c>
      <c r="C11" s="5">
        <v>62.931966053748233</v>
      </c>
    </row>
    <row r="12" spans="1:3">
      <c r="A12" s="5" t="s">
        <v>1462</v>
      </c>
      <c r="B12" s="5">
        <v>8.8636363636363633</v>
      </c>
      <c r="C12" s="5">
        <v>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1" sqref="B11"/>
    </sheetView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 Analysis</vt:lpstr>
      <vt:lpstr>Device Type Analysis</vt:lpstr>
      <vt:lpstr>Traffic Source Analysis</vt:lpstr>
      <vt:lpstr>experiment_data</vt:lpstr>
      <vt:lpstr>AB_Test</vt:lpstr>
      <vt:lpstr>Summary_Metrics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shah</cp:lastModifiedBy>
  <dcterms:modified xsi:type="dcterms:W3CDTF">2026-06-21T07:06:19Z</dcterms:modified>
</cp:coreProperties>
</file>