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F:\AI Class\Assessment\Capstone Project\data\part2-20260616T123936Z-3-001\part2\"/>
    </mc:Choice>
  </mc:AlternateContent>
  <xr:revisionPtr revIDLastSave="0" documentId="13_ncr:1_{D2AEF023-C18E-4242-826A-9F057121A229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experiment_data" sheetId="1" r:id="rId1"/>
    <sheet name="Missing_Value_Check" sheetId="3" r:id="rId2"/>
    <sheet name="Group counts" sheetId="8" r:id="rId3"/>
    <sheet name="Duplicate_Check" sheetId="4" r:id="rId4"/>
    <sheet name="Binary_Validation" sheetId="5" r:id="rId5"/>
    <sheet name="Revenue_Outlier_Check" sheetId="6" r:id="rId6"/>
    <sheet name="Segment_Distribution" sheetId="7" r:id="rId7"/>
    <sheet name="business_context" sheetId="2" r:id="rId8"/>
  </sheets>
  <definedNames>
    <definedName name="_xlnm._FilterDatabase" localSheetId="4" hidden="1">Binary_Validation!$A$1:$Q$1409</definedName>
    <definedName name="_xlnm._FilterDatabase" localSheetId="3" hidden="1">Duplicate_Check!$A$1:$Q$1409</definedName>
    <definedName name="_xlnm._FilterDatabase" localSheetId="0" hidden="1">experiment_data!$A$1:$P$1409</definedName>
  </definedNames>
  <calcPr calcId="191029"/>
  <pivotCaches>
    <pivotCache cacheId="8" r:id="rId9"/>
    <pivotCache cacheId="20" r:id="rId10"/>
  </pivotCaches>
</workbook>
</file>

<file path=xl/calcChain.xml><?xml version="1.0" encoding="utf-8"?>
<calcChain xmlns="http://schemas.openxmlformats.org/spreadsheetml/2006/main">
  <c r="R7" i="6" l="1"/>
  <c r="R5" i="6"/>
  <c r="N1411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2" i="5"/>
  <c r="B139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2" i="4"/>
  <c r="P1411" i="3"/>
  <c r="O1411" i="3"/>
  <c r="N1411" i="3"/>
  <c r="M1411" i="3"/>
  <c r="L1411" i="3"/>
  <c r="K1411" i="3"/>
  <c r="J1411" i="3"/>
  <c r="I1411" i="3"/>
  <c r="H1411" i="3"/>
  <c r="G1411" i="3"/>
  <c r="F1411" i="3"/>
  <c r="E1411" i="3"/>
  <c r="D1411" i="3"/>
  <c r="C1411" i="3"/>
  <c r="B1411" i="3"/>
  <c r="A1411" i="3"/>
  <c r="P1411" i="1"/>
  <c r="O1411" i="1"/>
  <c r="N1411" i="1"/>
  <c r="M1411" i="1"/>
  <c r="L1411" i="1"/>
  <c r="K1411" i="1"/>
  <c r="J1411" i="1"/>
  <c r="I1411" i="1"/>
  <c r="H1411" i="1"/>
  <c r="A1411" i="1"/>
  <c r="B1411" i="1"/>
  <c r="C1411" i="1"/>
  <c r="D1411" i="1"/>
  <c r="E1411" i="1"/>
  <c r="F1411" i="1"/>
  <c r="G1411" i="1"/>
  <c r="B1411" i="4" l="1"/>
</calcChain>
</file>

<file path=xl/sharedStrings.xml><?xml version="1.0" encoding="utf-8"?>
<sst xmlns="http://schemas.openxmlformats.org/spreadsheetml/2006/main" count="50610" uniqueCount="1466">
  <si>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</si>
  <si>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</si>
  <si>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</si>
  <si>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</si>
  <si>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</si>
  <si>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</si>
  <si>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</si>
  <si>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</si>
  <si>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</si>
  <si>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</si>
  <si>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</si>
  <si>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</si>
  <si>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</si>
  <si>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</si>
  <si>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</si>
  <si>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</si>
  <si>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</si>
  <si>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</si>
  <si>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</si>
  <si>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</si>
  <si>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</si>
  <si>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</si>
  <si>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</si>
  <si>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</si>
  <si>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</si>
  <si>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</si>
  <si>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</si>
  <si>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</si>
  <si>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</si>
  <si>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</si>
  <si>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</si>
  <si>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</si>
  <si>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</si>
  <si>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</si>
  <si>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</si>
  <si>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</si>
  <si>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</si>
  <si>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</si>
  <si>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</si>
  <si>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</si>
  <si>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</si>
  <si>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</si>
  <si>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</si>
  <si>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</si>
  <si>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</si>
  <si>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</si>
  <si>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</si>
  <si>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</si>
  <si>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</si>
  <si>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</si>
  <si>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</si>
  <si>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</si>
  <si>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</si>
  <si>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</si>
  <si>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</si>
  <si>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</si>
  <si>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</si>
  <si>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</si>
  <si>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</si>
  <si>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</si>
  <si>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</si>
  <si>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</si>
  <si>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</si>
  <si>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</si>
  <si>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</si>
  <si>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</si>
  <si>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</si>
  <si>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</si>
  <si>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</si>
  <si>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</si>
  <si>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</si>
  <si>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</si>
  <si>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</si>
  <si>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</si>
  <si>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</si>
  <si>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</si>
  <si>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</si>
  <si>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</si>
  <si>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</si>
  <si>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</si>
  <si>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</si>
  <si>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</si>
  <si>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</si>
  <si>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</si>
  <si>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</si>
  <si>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</si>
  <si>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</si>
  <si>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</si>
  <si>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</si>
  <si>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</si>
  <si>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</si>
  <si>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</si>
  <si>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</si>
  <si>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</si>
  <si>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</si>
  <si>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</si>
  <si>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</si>
  <si>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</si>
  <si>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</si>
  <si>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</si>
  <si>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</si>
  <si>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</si>
  <si>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</si>
  <si>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</si>
  <si>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</si>
  <si>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</si>
  <si>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</si>
  <si>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</si>
  <si>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</si>
  <si>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</si>
  <si>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</si>
  <si>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</si>
  <si>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</si>
  <si>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</si>
  <si>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</si>
  <si>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</si>
  <si>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</si>
  <si>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</si>
  <si>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</si>
  <si>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</si>
  <si>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</si>
  <si>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</si>
  <si>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</si>
  <si>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</si>
  <si>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</si>
  <si>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</si>
  <si>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</si>
  <si>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</si>
  <si>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</si>
  <si>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</si>
  <si>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</si>
  <si>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</si>
  <si>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</si>
  <si>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</si>
  <si>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</si>
  <si>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</si>
  <si>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</si>
  <si>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</si>
  <si>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</si>
  <si>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</si>
  <si>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</si>
  <si>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</si>
  <si>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</si>
  <si>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</si>
  <si>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</si>
  <si>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</si>
  <si>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</si>
  <si>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</si>
  <si>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</si>
  <si>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</si>
  <si>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</si>
  <si>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</si>
  <si>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</si>
  <si>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</si>
  <si>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</si>
  <si>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</si>
  <si>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</si>
  <si>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</si>
  <si>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</si>
  <si>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</si>
  <si>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</si>
  <si>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</si>
  <si>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</si>
  <si>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</si>
  <si>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</si>
  <si>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</si>
  <si>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</si>
  <si>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</si>
  <si>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</si>
  <si>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</si>
  <si>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</si>
  <si>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</si>
  <si>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</si>
  <si>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</si>
  <si>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</si>
  <si>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</si>
  <si>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</si>
  <si>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</si>
  <si>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</si>
  <si>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</si>
  <si>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</si>
  <si>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</si>
  <si>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</si>
  <si>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</si>
  <si>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</si>
  <si>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</si>
  <si>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</si>
  <si>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</si>
  <si>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</si>
  <si>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</si>
  <si>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</si>
  <si>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</si>
  <si>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</si>
  <si>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</si>
  <si>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</si>
  <si>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</si>
  <si>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</si>
  <si>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</si>
  <si>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</si>
  <si>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</si>
  <si>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</si>
  <si>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</si>
  <si>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</si>
  <si>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</si>
  <si>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</si>
  <si>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</si>
  <si>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</si>
  <si>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</si>
  <si>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</si>
  <si>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</si>
  <si>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</si>
  <si>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</si>
  <si>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</si>
  <si>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</si>
  <si>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</si>
  <si>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</si>
  <si>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</si>
  <si>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</si>
  <si>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</si>
  <si>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</si>
  <si>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</si>
  <si>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</si>
  <si>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</si>
  <si>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</si>
  <si>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</si>
  <si>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</si>
  <si>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</si>
  <si>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</si>
  <si>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</si>
  <si>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</si>
  <si>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</si>
  <si>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</si>
  <si>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</si>
  <si>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</si>
  <si>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</si>
  <si>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</si>
  <si>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</si>
  <si>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</si>
  <si>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</si>
  <si>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</si>
  <si>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</si>
  <si>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</si>
  <si>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</si>
  <si>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</si>
  <si>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</si>
  <si>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</si>
  <si>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</si>
  <si>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</si>
  <si>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</si>
  <si>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</si>
  <si>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</si>
  <si>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</si>
  <si>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</si>
  <si>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</si>
  <si>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</si>
  <si>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</si>
  <si>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</si>
  <si>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</si>
  <si>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</si>
  <si>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</si>
  <si>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</si>
  <si>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</si>
  <si>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</si>
  <si>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</si>
  <si>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</si>
  <si>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</si>
  <si>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</si>
  <si>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</si>
  <si>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</si>
  <si>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</si>
  <si>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</si>
  <si>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</si>
  <si>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</si>
  <si>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</si>
  <si>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</si>
  <si>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</si>
  <si>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</si>
  <si>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</si>
  <si>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</si>
  <si>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</si>
  <si>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</si>
  <si>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</si>
  <si>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</si>
  <si>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</si>
  <si>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</si>
  <si>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</si>
  <si>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</si>
  <si>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</si>
  <si>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</si>
  <si>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</si>
  <si>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</si>
  <si>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</si>
  <si>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</si>
  <si>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</si>
  <si>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</si>
  <si>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</si>
  <si>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</si>
  <si>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</si>
  <si>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</si>
  <si>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</si>
  <si>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</si>
  <si>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</si>
  <si>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</si>
  <si>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</si>
  <si>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</si>
  <si>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</si>
  <si>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</si>
  <si>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</si>
  <si>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</si>
  <si>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</si>
  <si>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</si>
  <si>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</si>
  <si>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</si>
  <si>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</si>
  <si>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</si>
  <si>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</si>
  <si>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</si>
  <si>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</si>
  <si>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</si>
  <si>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</si>
  <si>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</si>
  <si>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</si>
  <si>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</si>
  <si>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</si>
  <si>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</si>
  <si>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</si>
  <si>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</si>
  <si>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</si>
  <si>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</si>
  <si>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</si>
  <si>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</si>
  <si>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</si>
  <si>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</si>
  <si>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</si>
  <si>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</si>
  <si>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</si>
  <si>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</si>
  <si>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</si>
  <si>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</si>
  <si>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</si>
  <si>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</si>
  <si>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</si>
  <si>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</si>
  <si>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</si>
  <si>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</si>
  <si>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</si>
  <si>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</si>
  <si>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</si>
  <si>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</si>
  <si>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</si>
  <si>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</si>
  <si>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</si>
  <si>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</si>
  <si>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</si>
  <si>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</si>
  <si>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</si>
  <si>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</si>
  <si>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</si>
  <si>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</si>
  <si>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</si>
  <si>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</si>
  <si>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</si>
  <si>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</si>
  <si>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</si>
  <si>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</si>
  <si>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</si>
  <si>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</si>
  <si>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</si>
  <si>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</si>
  <si>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</si>
  <si>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</si>
  <si>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</si>
  <si>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</si>
  <si>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</si>
  <si>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</si>
  <si>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</si>
  <si>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</si>
  <si>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</si>
  <si>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</si>
  <si>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</si>
  <si>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</si>
  <si>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</si>
  <si>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</si>
  <si>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</si>
  <si>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</si>
  <si>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</si>
  <si>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</si>
  <si>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</si>
  <si>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</si>
  <si>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</si>
  <si>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</si>
  <si>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</si>
  <si>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</si>
  <si>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</si>
  <si>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</si>
  <si>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</si>
  <si>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</si>
  <si>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</si>
  <si>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</si>
  <si>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</si>
  <si>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</si>
  <si>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</si>
  <si>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</si>
  <si>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</si>
  <si>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</si>
  <si>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</si>
  <si>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</si>
  <si>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</si>
  <si>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</si>
  <si>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</si>
  <si>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</si>
  <si>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</si>
  <si>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</si>
  <si>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</si>
  <si>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</si>
  <si>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</si>
  <si>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</si>
  <si>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</si>
  <si>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</si>
  <si>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</si>
  <si>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</si>
  <si>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</si>
  <si>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</si>
  <si>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</si>
  <si>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</si>
  <si>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</si>
  <si>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</si>
  <si>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</si>
  <si>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</si>
  <si>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</si>
  <si>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</si>
  <si>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</si>
  <si>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</si>
  <si>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</si>
  <si>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</si>
  <si>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</si>
  <si>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</si>
  <si>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</si>
  <si>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</si>
  <si>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</si>
  <si>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</si>
  <si>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</si>
  <si>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</si>
  <si>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</si>
  <si>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</si>
  <si>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</si>
  <si>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</si>
  <si>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</si>
  <si>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</si>
  <si>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</si>
  <si>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</si>
  <si>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</si>
  <si>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</si>
  <si>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</si>
  <si>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</si>
  <si>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</si>
  <si>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</si>
  <si>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</si>
  <si>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</si>
  <si>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</si>
  <si>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</si>
  <si>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</si>
  <si>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</si>
  <si>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</si>
  <si>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</si>
  <si>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</si>
  <si>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</si>
  <si>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</si>
  <si>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</si>
  <si>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</si>
  <si>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</si>
  <si>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</si>
  <si>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</si>
  <si>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</si>
  <si>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</si>
  <si>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</si>
  <si>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</si>
  <si>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</si>
  <si>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</si>
  <si>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</si>
  <si>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</si>
  <si>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</si>
  <si>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</si>
  <si>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</si>
  <si>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</si>
  <si>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</si>
  <si>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</si>
  <si>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</si>
  <si>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</si>
  <si>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</si>
  <si>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</si>
  <si>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</si>
  <si>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</si>
  <si>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</si>
  <si>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</si>
  <si>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</si>
  <si>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</si>
  <si>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</si>
  <si>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</si>
  <si>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</si>
  <si>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</si>
  <si>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</si>
  <si>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</si>
  <si>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</si>
  <si>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</si>
  <si>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</si>
  <si>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</si>
  <si>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</si>
  <si>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</si>
  <si>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</si>
  <si>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</si>
  <si>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</si>
  <si>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</si>
  <si>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</si>
  <si>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</si>
  <si>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</si>
  <si>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</si>
  <si>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</si>
  <si>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</si>
  <si>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</si>
  <si>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</si>
  <si>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</si>
  <si>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</si>
  <si>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</si>
  <si>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</si>
  <si>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</si>
  <si>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</si>
  <si>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</si>
  <si>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</si>
  <si>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</si>
  <si>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</si>
  <si>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</si>
  <si>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</si>
  <si>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</si>
  <si>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</si>
  <si>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</si>
  <si>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</si>
  <si>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</si>
  <si>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</si>
  <si>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</si>
  <si>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</si>
  <si>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</si>
  <si>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</si>
  <si>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</si>
  <si>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</si>
  <si>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</si>
  <si>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</si>
  <si>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</si>
  <si>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</si>
  <si>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</si>
  <si>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</si>
  <si>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</si>
  <si>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</si>
  <si>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</si>
  <si>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</si>
  <si>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</si>
  <si>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</si>
  <si>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</si>
  <si>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</si>
  <si>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</si>
  <si>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</si>
  <si>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</si>
  <si>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</si>
  <si>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</si>
  <si>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</si>
  <si>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</si>
  <si>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</si>
  <si>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</si>
  <si>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</si>
  <si>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</si>
  <si>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</si>
  <si>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</si>
  <si>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</si>
  <si>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</si>
  <si>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</si>
  <si>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</si>
  <si>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</si>
  <si>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</si>
  <si>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</si>
  <si>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</si>
  <si>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</si>
  <si>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</si>
  <si>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</si>
  <si>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</si>
  <si>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</si>
  <si>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</si>
  <si>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</si>
  <si>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</si>
  <si>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</si>
  <si>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</si>
  <si>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</si>
  <si>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</si>
  <si>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</si>
  <si>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</si>
  <si>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</si>
  <si>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</si>
  <si>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</si>
  <si>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</si>
  <si>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</si>
  <si>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</si>
  <si>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</si>
  <si>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</si>
  <si>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</si>
  <si>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</si>
  <si>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</si>
  <si>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</si>
  <si>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</si>
  <si>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</si>
  <si>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</si>
  <si>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</si>
  <si>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</si>
  <si>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</si>
  <si>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</si>
  <si>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</si>
  <si>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</si>
  <si>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</si>
  <si>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</si>
  <si>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</si>
  <si>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</si>
  <si>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</si>
  <si>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</si>
  <si>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</si>
  <si>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</si>
  <si>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</si>
  <si>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</si>
  <si>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</si>
  <si>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</si>
  <si>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</si>
  <si>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</si>
  <si>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</si>
  <si>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</si>
  <si>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</si>
  <si>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</si>
  <si>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</si>
  <si>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</si>
  <si>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</si>
  <si>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</si>
  <si>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</si>
  <si>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</si>
  <si>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</si>
  <si>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</si>
  <si>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</si>
  <si>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</si>
  <si>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</si>
  <si>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</si>
  <si>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</si>
  <si>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</si>
  <si>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</si>
  <si>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</si>
  <si>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</si>
  <si>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</si>
  <si>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</si>
  <si>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</si>
  <si>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</si>
  <si>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</si>
  <si>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</si>
  <si>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</si>
  <si>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</si>
  <si>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</si>
  <si>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</si>
  <si>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</si>
  <si>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</si>
  <si>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</si>
  <si>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</si>
  <si>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</si>
  <si>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</si>
  <si>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</si>
  <si>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</si>
  <si>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</si>
  <si>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</si>
  <si>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</si>
  <si>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</si>
  <si>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</si>
  <si>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</si>
  <si>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</si>
  <si>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</si>
  <si>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</si>
  <si>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</si>
  <si>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</si>
  <si>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</si>
  <si>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</si>
  <si>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</si>
  <si>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</si>
  <si>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</si>
  <si>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</si>
  <si>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</si>
  <si>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</si>
  <si>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</si>
  <si>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</si>
  <si>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</si>
  <si>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</si>
  <si>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</si>
  <si>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</si>
  <si>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</si>
  <si>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</si>
  <si>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</si>
  <si>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</si>
  <si>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</si>
  <si>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</si>
  <si>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</si>
  <si>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</si>
  <si>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</si>
  <si>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</si>
  <si>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</si>
  <si>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</si>
  <si>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</si>
  <si>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</si>
  <si>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</si>
  <si>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</si>
  <si>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</si>
  <si>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</si>
  <si>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</si>
  <si>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</si>
  <si>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</si>
  <si>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</si>
  <si>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</si>
  <si>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</si>
  <si>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</si>
  <si>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</si>
  <si>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</si>
  <si>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</si>
  <si>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</si>
  <si>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</si>
  <si>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</si>
  <si>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</si>
  <si>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</si>
  <si>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</si>
  <si>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</si>
  <si>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</si>
  <si>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</si>
  <si>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</si>
  <si>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</si>
  <si>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</si>
  <si>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</si>
  <si>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</si>
  <si>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</si>
  <si>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</si>
  <si>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</si>
  <si>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</si>
  <si>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</si>
  <si>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</si>
  <si>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</si>
  <si>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</si>
  <si>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</si>
  <si>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</si>
  <si>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</si>
  <si>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</si>
  <si>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</si>
  <si>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</si>
  <si>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</si>
  <si>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</si>
  <si>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</si>
  <si>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</si>
  <si>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</si>
  <si>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</si>
  <si>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</si>
  <si>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</si>
  <si>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</si>
  <si>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</si>
  <si>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</si>
  <si>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</si>
  <si>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</si>
  <si>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</si>
  <si>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</si>
  <si>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</si>
  <si>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</si>
  <si>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</si>
  <si>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</si>
  <si>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</si>
  <si>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</si>
  <si>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</si>
  <si>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</si>
  <si>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</si>
  <si>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</si>
  <si>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</si>
  <si>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</si>
  <si>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</si>
  <si>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</si>
  <si>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</si>
  <si>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</si>
  <si>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</si>
  <si>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</si>
  <si>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</si>
  <si>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</si>
  <si>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</si>
  <si>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</si>
  <si>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</si>
  <si>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</si>
  <si>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</si>
  <si>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</si>
  <si>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</si>
  <si>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</si>
  <si>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</si>
  <si>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</si>
  <si>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</si>
  <si>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</si>
  <si>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</si>
  <si>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</si>
  <si>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</si>
  <si>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</si>
  <si>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</si>
  <si>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</si>
  <si>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</si>
  <si>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</si>
  <si>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</si>
  <si>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</si>
  <si>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</si>
  <si>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</si>
  <si>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</si>
  <si>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</si>
  <si>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</si>
  <si>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</si>
  <si>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</si>
  <si>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</si>
  <si>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</si>
  <si>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</si>
  <si>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</si>
  <si>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</si>
  <si>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</si>
  <si>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</si>
  <si>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</si>
  <si>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</si>
  <si>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</si>
  <si>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</si>
  <si>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</si>
  <si>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</si>
  <si>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</si>
  <si>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</si>
  <si>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</si>
  <si>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</si>
  <si>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</si>
  <si>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</si>
  <si>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</si>
  <si>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</si>
  <si>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</si>
  <si>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</si>
  <si>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</si>
  <si>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</si>
  <si>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</si>
  <si>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</si>
  <si>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</si>
  <si>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</si>
  <si>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</si>
  <si>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</si>
  <si>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</si>
  <si>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</si>
  <si>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</si>
  <si>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</si>
  <si>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</si>
  <si>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</si>
  <si>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</si>
  <si>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</si>
  <si>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</si>
  <si>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</si>
  <si>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</si>
  <si>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</si>
  <si>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</si>
  <si>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</si>
  <si>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</si>
  <si>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</si>
  <si>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</si>
  <si>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</si>
  <si>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</si>
  <si>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</si>
  <si>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</si>
  <si>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</si>
  <si>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</si>
  <si>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</si>
  <si>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</si>
  <si>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</si>
  <si>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</si>
  <si>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</si>
  <si>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</si>
  <si>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</si>
  <si>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</si>
  <si>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</si>
  <si>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</si>
  <si>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</si>
  <si>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</si>
  <si>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</si>
  <si>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</si>
  <si>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</si>
  <si>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</si>
  <si>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</si>
  <si>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</si>
  <si>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</si>
  <si>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</si>
  <si>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</si>
  <si>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</si>
  <si>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</si>
  <si>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</si>
  <si>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</si>
  <si>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</si>
  <si>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</si>
  <si>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</si>
  <si>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</si>
  <si>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</si>
  <si>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</si>
  <si>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</si>
  <si>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</si>
  <si>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</si>
  <si>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</si>
  <si>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</si>
  <si>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</si>
  <si>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</si>
  <si>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</si>
  <si>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</si>
  <si>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</si>
  <si>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</si>
  <si>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</si>
  <si>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</si>
  <si>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</si>
  <si>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</si>
  <si>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</si>
  <si>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</si>
  <si>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</si>
  <si>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</si>
  <si>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</si>
  <si>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</si>
  <si>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</si>
  <si>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</si>
  <si>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</si>
  <si>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</si>
  <si>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</si>
  <si>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</si>
  <si>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</si>
  <si>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</si>
  <si>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</si>
  <si>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</si>
  <si>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</si>
  <si>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</si>
  <si>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</si>
  <si>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</si>
  <si>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</si>
  <si>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</si>
  <si>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</si>
  <si>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</si>
  <si>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</si>
  <si>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</si>
  <si>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</si>
  <si>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</si>
  <si>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</si>
  <si>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</si>
  <si>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</si>
  <si>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</si>
  <si>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</si>
  <si>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</si>
  <si>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</si>
  <si>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</si>
  <si>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</si>
  <si>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</si>
  <si>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</si>
  <si>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</si>
  <si>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</si>
  <si>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</si>
  <si>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</si>
  <si>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</si>
  <si>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</si>
  <si>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</si>
  <si>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</si>
  <si>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</si>
  <si>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</si>
  <si>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</si>
  <si>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</si>
  <si>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</si>
  <si>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</si>
  <si>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</si>
  <si>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</si>
  <si>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</si>
  <si>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</si>
  <si>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</si>
  <si>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</si>
  <si>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</si>
  <si>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</si>
  <si>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</si>
  <si>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</si>
  <si>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</si>
  <si>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</si>
  <si>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</si>
  <si>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</si>
  <si>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</si>
  <si>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</si>
  <si>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</si>
  <si>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</si>
  <si>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</si>
  <si>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</si>
  <si>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</si>
  <si>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</si>
  <si>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</si>
  <si>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</si>
  <si>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</si>
  <si>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</si>
  <si>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</si>
  <si>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</si>
  <si>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</si>
  <si>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</si>
  <si>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</si>
  <si>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</si>
  <si>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</si>
  <si>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</si>
  <si>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</si>
  <si>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</si>
  <si>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</si>
  <si>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</si>
  <si>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</si>
  <si>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</si>
  <si>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</si>
  <si>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</si>
  <si>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</si>
  <si>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</si>
  <si>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</si>
  <si>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</si>
  <si>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</si>
  <si>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</si>
  <si>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</si>
  <si>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</si>
  <si>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</si>
  <si>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</si>
  <si>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</si>
  <si>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</si>
  <si>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</si>
  <si>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</si>
  <si>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</si>
  <si>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</si>
  <si>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</si>
  <si>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</si>
  <si>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</si>
  <si>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</si>
  <si>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</si>
  <si>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</si>
  <si>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</si>
  <si>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</si>
  <si>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</si>
  <si>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</si>
  <si>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</si>
  <si>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</si>
  <si>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</si>
  <si>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</si>
  <si>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</si>
  <si>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</si>
  <si>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</si>
  <si>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</si>
  <si>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</si>
  <si>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</si>
  <si>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</si>
  <si>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</si>
  <si>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</si>
  <si>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</si>
  <si>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</si>
  <si>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</si>
  <si>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</si>
  <si>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</si>
  <si>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</si>
  <si>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</si>
  <si>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</si>
  <si>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</si>
  <si>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</si>
  <si>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</si>
  <si>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</si>
  <si>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</si>
  <si>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</si>
  <si>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</si>
  <si>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</si>
  <si>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</si>
  <si>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</si>
  <si>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</si>
  <si>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</si>
  <si>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</si>
  <si>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</si>
  <si>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</si>
  <si>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</si>
  <si>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</si>
  <si>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</si>
  <si>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</si>
  <si>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</si>
  <si>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</si>
  <si>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</si>
  <si>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</si>
  <si>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</si>
  <si>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</si>
  <si>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</si>
  <si>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</si>
  <si>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</si>
  <si>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</si>
  <si>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</si>
  <si>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</si>
  <si>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</si>
  <si>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</si>
  <si>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</si>
  <si>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</si>
  <si>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</si>
  <si>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</si>
  <si>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</si>
  <si>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</si>
  <si>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</si>
  <si>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</si>
  <si>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</si>
  <si>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</si>
  <si>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</si>
  <si>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</si>
  <si>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</si>
  <si>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</si>
  <si>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</si>
  <si>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</si>
  <si>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</si>
  <si>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</si>
  <si>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</si>
  <si>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</si>
  <si>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</si>
  <si>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</si>
  <si>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</si>
  <si>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</si>
  <si>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</si>
  <si>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</si>
  <si>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</si>
  <si>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</si>
  <si>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</si>
  <si>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</si>
  <si>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</si>
  <si>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</si>
  <si>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</si>
  <si>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</si>
  <si>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</si>
  <si>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</si>
  <si>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</si>
  <si>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</si>
  <si>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</si>
  <si>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</si>
  <si>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</si>
  <si>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</si>
  <si>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</si>
  <si>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</si>
  <si>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</si>
  <si>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</si>
  <si>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</si>
  <si>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</si>
  <si>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</si>
  <si>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</si>
  <si>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</si>
  <si>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</si>
  <si>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</si>
  <si>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</si>
  <si>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</si>
  <si>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</si>
  <si>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</si>
  <si>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</si>
  <si>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</si>
  <si>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</si>
  <si>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</si>
  <si>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</si>
  <si>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</si>
  <si>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</si>
  <si>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</si>
  <si>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</si>
  <si>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</si>
  <si>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</si>
  <si>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</si>
  <si>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</si>
  <si>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</si>
  <si>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</si>
  <si>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</si>
  <si>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</si>
  <si>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</si>
  <si>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</si>
  <si>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</si>
  <si>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</si>
  <si>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</si>
  <si>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</si>
  <si>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</si>
  <si>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</si>
  <si>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</si>
  <si>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</si>
  <si>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</si>
  <si>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</si>
  <si>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</si>
  <si>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</si>
  <si>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</si>
  <si>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</si>
  <si>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</si>
  <si>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</si>
  <si>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</si>
  <si>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</si>
  <si>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</si>
  <si>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</si>
  <si>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</si>
  <si>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</si>
  <si>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</si>
  <si>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</si>
  <si>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</si>
  <si>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</si>
  <si>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</si>
  <si>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</si>
  <si>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</si>
  <si>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</si>
  <si>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</si>
  <si>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</si>
  <si>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</si>
  <si>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</si>
  <si>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</si>
  <si>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</si>
  <si>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</si>
  <si>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</si>
  <si>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</si>
  <si>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</si>
  <si>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</si>
  <si>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</si>
  <si>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</si>
  <si>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</si>
  <si>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</si>
  <si>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</si>
  <si>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</si>
  <si>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</si>
  <si>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</si>
  <si>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</si>
  <si>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</si>
  <si>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</si>
  <si>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</si>
  <si>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</si>
  <si>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</si>
  <si>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</si>
  <si>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</si>
  <si>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</si>
  <si>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</si>
  <si>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</si>
  <si>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</si>
  <si>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</si>
  <si>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</si>
  <si>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</si>
  <si>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</si>
  <si>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</si>
  <si>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</si>
  <si>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</si>
  <si>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</si>
  <si>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</si>
  <si>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</si>
  <si>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</si>
  <si>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</si>
  <si>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</si>
  <si>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</si>
  <si>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</si>
  <si>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</si>
  <si>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</si>
  <si>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</si>
  <si>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</si>
  <si>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</si>
  <si>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</si>
  <si>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</si>
  <si>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</si>
  <si>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</si>
  <si>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</si>
  <si>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</si>
  <si>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</si>
  <si>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</si>
  <si>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</si>
  <si>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</si>
  <si>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</si>
  <si>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</si>
  <si>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</si>
  <si>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</si>
  <si>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</si>
  <si>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</si>
  <si>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</si>
  <si>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</si>
  <si>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</si>
  <si>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</si>
  <si>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</si>
  <si>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</si>
  <si>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</si>
  <si>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</si>
  <si>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</si>
  <si>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</si>
  <si>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</si>
  <si>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</si>
  <si>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</si>
  <si>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</si>
  <si>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</si>
  <si>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</si>
  <si>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</si>
  <si>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</si>
  <si>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</si>
  <si>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</si>
  <si>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</si>
  <si>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</si>
  <si>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</si>
  <si>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</si>
  <si>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</si>
  <si>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</si>
  <si>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</si>
  <si>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</si>
  <si>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</si>
  <si>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</si>
  <si>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</si>
  <si>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</si>
  <si>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</si>
  <si>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</si>
  <si>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</si>
  <si>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</si>
  <si>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</si>
  <si>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</si>
  <si>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</si>
  <si>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</si>
  <si>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</si>
  <si>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</si>
  <si>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</si>
  <si>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</si>
  <si>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</si>
  <si>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</si>
  <si>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</si>
  <si>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</si>
  <si>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</si>
  <si>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</si>
  <si>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</si>
  <si>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</si>
  <si>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</si>
  <si>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</si>
  <si>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</si>
  <si>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</si>
  <si>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</si>
  <si>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</si>
  <si>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</si>
  <si>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</si>
  <si>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</si>
  <si>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</si>
  <si>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</si>
  <si>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</si>
  <si>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</si>
  <si>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</si>
  <si>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</si>
  <si>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</si>
  <si>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</si>
  <si>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</si>
  <si>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</si>
  <si>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</si>
  <si>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</si>
  <si>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</si>
  <si>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</si>
  <si>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</si>
  <si>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</si>
  <si>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</si>
  <si>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</si>
  <si>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</si>
  <si>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</si>
  <si>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</si>
  <si>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</si>
  <si>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</si>
  <si>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</si>
  <si>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</si>
  <si>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</si>
  <si>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</si>
  <si>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</si>
  <si>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</si>
  <si>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</si>
  <si>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</si>
  <si>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</si>
  <si>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</si>
  <si>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</si>
  <si>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</si>
  <si>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</si>
  <si>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</si>
  <si>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</si>
  <si>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</si>
  <si>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</si>
  <si>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</si>
  <si>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</si>
  <si>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</si>
  <si>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</si>
  <si>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</si>
  <si>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</si>
  <si>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</si>
  <si>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</si>
  <si>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</si>
  <si>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</si>
  <si>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</si>
  <si>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</si>
  <si>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</si>
  <si>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</si>
  <si>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</si>
  <si>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</si>
  <si>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</si>
  <si>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</si>
  <si>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</si>
  <si>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</si>
  <si>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</si>
  <si>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</si>
  <si>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</si>
  <si>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</si>
  <si>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</si>
  <si>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</si>
  <si>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</si>
  <si>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</si>
  <si>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</si>
  <si>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</si>
  <si>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</si>
  <si>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</si>
  <si>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</si>
  <si>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</si>
  <si>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</si>
  <si>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</si>
  <si>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</si>
  <si>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</si>
  <si>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</si>
  <si>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</si>
  <si>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</si>
  <si>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</si>
  <si>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</si>
  <si>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</si>
  <si>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</si>
  <si>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</si>
  <si>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</si>
  <si>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</si>
  <si>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</si>
  <si>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</si>
  <si>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</si>
  <si>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</si>
  <si>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</si>
  <si>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</si>
  <si>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</si>
  <si>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</si>
  <si>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</si>
  <si>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</si>
  <si>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</si>
  <si>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</si>
  <si>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</si>
  <si>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</si>
  <si>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</si>
  <si>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</si>
  <si>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</si>
  <si>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</si>
  <si>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</si>
  <si>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</si>
  <si>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</si>
  <si>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</si>
  <si>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</si>
  <si>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</si>
  <si>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</si>
  <si>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</si>
  <si>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</si>
  <si>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</si>
  <si>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</si>
  <si>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</si>
  <si>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</si>
  <si>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</si>
  <si>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</si>
  <si>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</si>
  <si>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</si>
  <si>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</si>
  <si>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</si>
  <si>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</si>
  <si>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</si>
  <si>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</si>
  <si>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</si>
  <si>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Count of user_id</t>
  </si>
  <si>
    <t>Row Labels</t>
  </si>
  <si>
    <t>Grand Total</t>
  </si>
  <si>
    <t>User_Id_Count</t>
  </si>
  <si>
    <t>support_tickets_30d_Validation</t>
  </si>
  <si>
    <t>Q1=QUARTILE.INC(L2:L1409, 1)</t>
  </si>
  <si>
    <t>Q3=QUARTILE.INC(L2:L1409,3)</t>
  </si>
  <si>
    <t>Quartile 1</t>
  </si>
  <si>
    <t>Quartile 3</t>
  </si>
  <si>
    <t>Values</t>
  </si>
  <si>
    <t>Column Labels</t>
  </si>
  <si>
    <t>Region Distribution</t>
  </si>
  <si>
    <t>Device Type Distribution</t>
  </si>
  <si>
    <t>(blank)</t>
  </si>
  <si>
    <t>Traffic Source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</si>
</sst>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 shah" refreshedDate="46192.741988425929" createdVersion="8" refreshedVersion="8" minRefreshableVersion="3" recordCount="1408" xr:uid="{EE6B9E13-F5A3-4C55-B1A6-900501D5A506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 shah" refreshedDate="46192.838485069442" createdVersion="8" refreshedVersion="8" minRefreshableVersion="3" recordCount="1408" xr:uid="{99BCB3AB-75F9-4500-9DCF-3811C8724334}">
  <cacheSource type="worksheet">
    <worksheetSource ref="A1:P1409" sheet="Segment_Distribution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n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n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s v="West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n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s v="North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n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n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s v="Mobile"/>
    <m/>
    <s v="Free"/>
    <n v="1"/>
    <n v="1"/>
    <n v="0"/>
    <n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n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m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n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n v="0"/>
    <n v="0"/>
    <n v="3"/>
    <n v="0"/>
    <m/>
    <n v="56"/>
  </r>
  <r>
    <s v="USR-100636"/>
    <d v="2025-01-14T00:00:00"/>
    <x v="0"/>
    <s v="West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n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n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n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n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s v="Desktop"/>
    <m/>
    <s v="Premium"/>
    <n v="1"/>
    <n v="0"/>
    <n v="0"/>
    <n v="0"/>
    <n v="0"/>
    <n v="2"/>
    <n v="0"/>
    <m/>
    <n v="53.2"/>
  </r>
  <r>
    <s v="USR-100742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m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n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m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n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n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n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n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s v="Mobile"/>
    <m/>
    <s v="Basic"/>
    <n v="1"/>
    <n v="0"/>
    <n v="0"/>
    <n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s v="East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n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s v="West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n v="0"/>
    <n v="0"/>
    <n v="1"/>
    <n v="0"/>
    <m/>
    <m/>
  </r>
  <r>
    <s v="USR-101074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n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n v="0"/>
    <n v="0"/>
    <n v="3"/>
    <n v="0"/>
    <m/>
    <m/>
  </r>
  <r>
    <s v="USR-101300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n v="0"/>
    <n v="0"/>
    <n v="1"/>
    <n v="0"/>
    <m/>
    <n v="61.5"/>
  </r>
  <r>
    <s v="USR-101316"/>
    <d v="2025-02-19T00:00:00"/>
    <x v="1"/>
    <s v="North"/>
    <s v="Mobile"/>
    <s v="Organic"/>
    <s v="Premium"/>
    <n v="0"/>
    <n v="0"/>
    <n v="0"/>
    <n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n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s v="West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n v="0"/>
    <n v="0"/>
    <n v="0"/>
    <n v="0"/>
    <m/>
    <n v="45.7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</r>
  <r>
    <s v="USR-100154"/>
    <d v="2025-03-04T00:00:00"/>
    <x v="0"/>
    <x v="3"/>
    <x v="1"/>
    <x v="3"/>
    <s v="Free"/>
    <n v="1"/>
    <n v="1"/>
    <n v="0"/>
    <n v="0"/>
    <n v="0"/>
    <n v="0"/>
    <n v="0"/>
    <m/>
    <m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</r>
  <r>
    <s v="USR-100162"/>
    <d v="2025-02-01T00:00:00"/>
    <x v="0"/>
    <x v="0"/>
    <x v="1"/>
    <x v="1"/>
    <s v="Free"/>
    <n v="0"/>
    <n v="0"/>
    <n v="0"/>
    <n v="0"/>
    <n v="0"/>
    <n v="0"/>
    <n v="0"/>
    <m/>
    <m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</r>
  <r>
    <s v="USR-100168"/>
    <d v="2025-03-06T00:00:00"/>
    <x v="0"/>
    <x v="3"/>
    <x v="1"/>
    <x v="2"/>
    <s v="Free"/>
    <n v="1"/>
    <n v="0"/>
    <n v="0"/>
    <n v="0"/>
    <n v="0"/>
    <n v="1"/>
    <n v="0"/>
    <m/>
    <m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</r>
  <r>
    <s v="USR-100218"/>
    <d v="2025-02-25T00:00:00"/>
    <x v="0"/>
    <x v="0"/>
    <x v="2"/>
    <x v="4"/>
    <s v="Free"/>
    <n v="1"/>
    <n v="0"/>
    <n v="0"/>
    <n v="0"/>
    <n v="0"/>
    <n v="0"/>
    <n v="0"/>
    <m/>
    <m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</r>
  <r>
    <s v="USR-100545"/>
    <d v="2025-01-01T00:00:00"/>
    <x v="0"/>
    <x v="3"/>
    <x v="0"/>
    <x v="4"/>
    <s v="Basic"/>
    <n v="0"/>
    <n v="0"/>
    <n v="0"/>
    <n v="0"/>
    <n v="0"/>
    <n v="0"/>
    <n v="0"/>
    <m/>
    <m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</r>
  <r>
    <s v="USR-100632"/>
    <d v="2025-03-16T00:00:00"/>
    <x v="0"/>
    <x v="0"/>
    <x v="1"/>
    <x v="4"/>
    <s v="Free"/>
    <n v="1"/>
    <n v="0"/>
    <n v="0"/>
    <n v="0"/>
    <n v="0"/>
    <n v="0"/>
    <n v="0"/>
    <m/>
    <m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</r>
  <r>
    <s v="USR-100694"/>
    <d v="2025-03-27T00:00:00"/>
    <x v="1"/>
    <x v="0"/>
    <x v="0"/>
    <x v="4"/>
    <s v="Free"/>
    <n v="1"/>
    <n v="0"/>
    <n v="0"/>
    <n v="0"/>
    <n v="0"/>
    <n v="0"/>
    <n v="0"/>
    <m/>
    <m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</r>
  <r>
    <s v="USR-100707"/>
    <d v="2025-01-29T00:00:00"/>
    <x v="1"/>
    <x v="0"/>
    <x v="0"/>
    <x v="1"/>
    <s v="Basic"/>
    <n v="1"/>
    <n v="0"/>
    <n v="0"/>
    <n v="0"/>
    <n v="0"/>
    <n v="0"/>
    <n v="0"/>
    <m/>
    <m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</r>
  <r>
    <s v="USR-100762"/>
    <d v="2025-03-26T00:00:00"/>
    <x v="1"/>
    <x v="3"/>
    <x v="1"/>
    <x v="2"/>
    <s v="Free"/>
    <n v="0"/>
    <n v="0"/>
    <n v="0"/>
    <n v="0"/>
    <n v="0"/>
    <n v="0"/>
    <n v="0"/>
    <m/>
    <m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</r>
  <r>
    <s v="USR-101073"/>
    <d v="2025-05-22T00:00:00"/>
    <x v="1"/>
    <x v="2"/>
    <x v="1"/>
    <x v="3"/>
    <s v="Free"/>
    <n v="1"/>
    <n v="0"/>
    <n v="0"/>
    <n v="0"/>
    <n v="0"/>
    <n v="1"/>
    <n v="0"/>
    <m/>
    <m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</r>
  <r>
    <s v="USR-101099"/>
    <d v="2025-04-19T00:00:00"/>
    <x v="1"/>
    <x v="0"/>
    <x v="1"/>
    <x v="2"/>
    <s v="Basic"/>
    <n v="1"/>
    <n v="0"/>
    <n v="0"/>
    <n v="0"/>
    <n v="0"/>
    <n v="0"/>
    <n v="0"/>
    <m/>
    <m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x v="1"/>
    <x v="1"/>
    <x v="1"/>
    <s v="Free"/>
    <n v="0"/>
    <n v="0"/>
    <n v="0"/>
    <n v="0"/>
    <n v="0"/>
    <n v="3"/>
    <n v="0"/>
    <m/>
    <m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3BBC1-BB38-41AD-9A4B-165229A7821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7A4BF-7A52-4F32-B859-44AF93E946A0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3:U31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812B3-1C8B-493F-A819-BBF5E5A89331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3:U19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0A6F4-3321-47ED-B98D-F90A82380286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U9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1"/>
  <sheetViews>
    <sheetView topLeftCell="C1" workbookViewId="0">
      <selection activeCell="M17" sqref="A1:P1409"/>
    </sheetView>
  </sheetViews>
  <sheetFormatPr defaultRowHeight="13.8"/>
  <cols>
    <col min="1" max="2" width="16" customWidth="1"/>
    <col min="3" max="3" width="17.296875" bestFit="1" customWidth="1"/>
    <col min="4" max="7" width="16" customWidth="1"/>
    <col min="8" max="8" width="19.69921875" bestFit="1" customWidth="1"/>
    <col min="9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  <row r="1411" spans="1:16">
      <c r="A1411">
        <f>COUNTBLANK(A2:A1409)</f>
        <v>0</v>
      </c>
      <c r="B1411">
        <f>COUNTBLANK(B2:B1409)</f>
        <v>0</v>
      </c>
      <c r="C1411">
        <f>COUNTBLANK(C2:C1409)</f>
        <v>0</v>
      </c>
      <c r="D1411">
        <f>COUNTBLANK(D2:D1409)</f>
        <v>0</v>
      </c>
      <c r="E1411">
        <f>COUNTBLANK(E2:E1409)</f>
        <v>18</v>
      </c>
      <c r="F1411">
        <f>COUNTBLANK(F2:F1409)</f>
        <v>24</v>
      </c>
      <c r="G1411">
        <f>COUNTBLANK(G2:G1409)</f>
        <v>0</v>
      </c>
      <c r="H1411">
        <f>COUNTBLANK(H2:H1409)</f>
        <v>0</v>
      </c>
      <c r="I1411">
        <f>COUNTBLANK(I2:I1409)</f>
        <v>0</v>
      </c>
      <c r="J1411">
        <f>COUNTBLANK(J2:J1409)</f>
        <v>0</v>
      </c>
      <c r="K1411">
        <f>COUNTBLANK(K2:K1409)</f>
        <v>0</v>
      </c>
      <c r="L1411">
        <f>COUNTBLANK(L2:L1409)</f>
        <v>0</v>
      </c>
      <c r="M1411">
        <f>COUNTBLANK(M2:M1409)</f>
        <v>0</v>
      </c>
      <c r="N1411">
        <f>COUNTBLANK(N2:N1409)</f>
        <v>0</v>
      </c>
      <c r="O1411">
        <f>COUNTBLANK(O2:O1409)</f>
        <v>1336</v>
      </c>
      <c r="P1411">
        <f>COUNTBLANK(P2:P1409)</f>
        <v>14</v>
      </c>
    </row>
  </sheetData>
  <autoFilter ref="A1:P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75E1-DA1F-40AD-8624-616F6A6A0253}">
  <dimension ref="A1:P1411"/>
  <sheetViews>
    <sheetView workbookViewId="0"/>
  </sheetViews>
  <sheetFormatPr defaultRowHeight="13.8"/>
  <cols>
    <col min="1" max="1" width="11.296875" bestFit="1" customWidth="1"/>
    <col min="2" max="2" width="10.09765625" bestFit="1" customWidth="1"/>
    <col min="5" max="5" width="14.59765625" customWidth="1"/>
    <col min="6" max="6" width="10.69921875" bestFit="1" customWidth="1"/>
    <col min="10" max="10" width="14.796875" customWidth="1"/>
  </cols>
  <sheetData>
    <row r="1" spans="1:16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  <row r="1411" spans="1:16">
      <c r="A1411">
        <f>COUNTBLANK(A2:A1409)</f>
        <v>0</v>
      </c>
      <c r="B1411">
        <f>COUNTBLANK(B2:B1409)</f>
        <v>0</v>
      </c>
      <c r="C1411">
        <f>COUNTBLANK(C2:C1409)</f>
        <v>0</v>
      </c>
      <c r="D1411">
        <f>COUNTBLANK(D2:D1409)</f>
        <v>0</v>
      </c>
      <c r="E1411">
        <f>COUNTBLANK(E2:E1409)</f>
        <v>18</v>
      </c>
      <c r="F1411">
        <f>COUNTBLANK(F2:F1409)</f>
        <v>24</v>
      </c>
      <c r="G1411">
        <f>COUNTBLANK(G2:G1409)</f>
        <v>0</v>
      </c>
      <c r="H1411">
        <f>COUNTBLANK(H2:H1409)</f>
        <v>0</v>
      </c>
      <c r="I1411">
        <f>COUNTBLANK(I2:I1409)</f>
        <v>0</v>
      </c>
      <c r="J1411">
        <f>COUNTBLANK(J2:J1409)</f>
        <v>0</v>
      </c>
      <c r="K1411">
        <f>COUNTBLANK(K2:K1409)</f>
        <v>0</v>
      </c>
      <c r="L1411">
        <f>COUNTBLANK(L2:L1409)</f>
        <v>0</v>
      </c>
      <c r="M1411">
        <f>COUNTBLANK(M2:M1409)</f>
        <v>0</v>
      </c>
      <c r="N1411">
        <f>COUNTBLANK(N2:N1409)</f>
        <v>0</v>
      </c>
      <c r="O1411">
        <f>COUNTBLANK(O2:O1409)</f>
        <v>1336</v>
      </c>
      <c r="P1411">
        <f>COUNTBLANK(P2:P1409)</f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3AF3-D285-4A6C-8649-36058810F72A}">
  <dimension ref="A3:B6"/>
  <sheetViews>
    <sheetView workbookViewId="0">
      <selection activeCell="F17" sqref="F17"/>
    </sheetView>
  </sheetViews>
  <sheetFormatPr defaultRowHeight="13.8"/>
  <cols>
    <col min="1" max="1" width="13.09765625" bestFit="1" customWidth="1"/>
    <col min="2" max="2" width="15.3984375" bestFit="1" customWidth="1"/>
  </cols>
  <sheetData>
    <row r="3" spans="1:2">
      <c r="A3" s="5" t="s">
        <v>1452</v>
      </c>
      <c r="B3" t="s">
        <v>1451</v>
      </c>
    </row>
    <row r="4" spans="1:2">
      <c r="A4" s="6" t="s">
        <v>17</v>
      </c>
      <c r="B4" s="4">
        <v>693</v>
      </c>
    </row>
    <row r="5" spans="1:2">
      <c r="A5" s="6" t="s">
        <v>723</v>
      </c>
      <c r="B5" s="4">
        <v>715</v>
      </c>
    </row>
    <row r="6" spans="1:2">
      <c r="A6" s="6" t="s">
        <v>1453</v>
      </c>
      <c r="B6" s="4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FD8A-246C-47FB-9F19-43EF42459E49}">
  <dimension ref="A1:Q1411"/>
  <sheetViews>
    <sheetView topLeftCell="A1380" workbookViewId="0">
      <selection activeCell="B1411" sqref="B1411"/>
    </sheetView>
  </sheetViews>
  <sheetFormatPr defaultRowHeight="13.8"/>
  <cols>
    <col min="1" max="1" width="11.296875" bestFit="1" customWidth="1"/>
    <col min="2" max="2" width="25" customWidth="1"/>
    <col min="3" max="3" width="10.09765625" bestFit="1" customWidth="1"/>
  </cols>
  <sheetData>
    <row r="1" spans="1:17" ht="41.4">
      <c r="A1" s="1" t="s">
        <v>0</v>
      </c>
      <c r="B1" s="1" t="s">
        <v>1454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t="s">
        <v>16</v>
      </c>
      <c r="B2">
        <f>COUNTIF($A$2:A2,A2)</f>
        <v>1</v>
      </c>
      <c r="C2" s="2">
        <v>45732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>
        <v>45.7</v>
      </c>
    </row>
    <row r="3" spans="1:17">
      <c r="A3" t="s">
        <v>22</v>
      </c>
      <c r="B3">
        <f>COUNTIF($A$2:A3,A3)</f>
        <v>1</v>
      </c>
      <c r="C3" s="2">
        <v>45724</v>
      </c>
      <c r="D3" t="s">
        <v>17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48.6</v>
      </c>
    </row>
    <row r="4" spans="1:17">
      <c r="A4" t="s">
        <v>27</v>
      </c>
      <c r="B4">
        <f>COUNTIF($A$2:A4,A4)</f>
        <v>1</v>
      </c>
      <c r="C4" s="2">
        <v>45771</v>
      </c>
      <c r="D4" t="s">
        <v>17</v>
      </c>
      <c r="E4" t="s">
        <v>28</v>
      </c>
      <c r="F4" t="s">
        <v>24</v>
      </c>
      <c r="G4" t="s">
        <v>29</v>
      </c>
      <c r="H4" t="s">
        <v>30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Q4">
        <v>35.4</v>
      </c>
    </row>
    <row r="5" spans="1:17">
      <c r="A5" t="s">
        <v>31</v>
      </c>
      <c r="B5">
        <f>COUNTIF($A$2:A5,A5)</f>
        <v>1</v>
      </c>
      <c r="C5" s="2">
        <v>45781</v>
      </c>
      <c r="D5" t="s">
        <v>17</v>
      </c>
      <c r="E5" t="s">
        <v>32</v>
      </c>
      <c r="F5" t="s">
        <v>24</v>
      </c>
      <c r="G5" t="s">
        <v>20</v>
      </c>
      <c r="H5" t="s">
        <v>21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>
        <v>64.599999999999994</v>
      </c>
    </row>
    <row r="6" spans="1:17">
      <c r="A6" t="s">
        <v>33</v>
      </c>
      <c r="B6">
        <f>COUNTIF($A$2:A6,A6)</f>
        <v>1</v>
      </c>
      <c r="C6" s="2">
        <v>45700</v>
      </c>
      <c r="D6" t="s">
        <v>17</v>
      </c>
      <c r="E6" t="s">
        <v>18</v>
      </c>
      <c r="F6" t="s">
        <v>34</v>
      </c>
      <c r="G6" t="s">
        <v>25</v>
      </c>
      <c r="H6" t="s">
        <v>26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66.599999999999994</v>
      </c>
    </row>
    <row r="7" spans="1:17">
      <c r="A7" t="s">
        <v>35</v>
      </c>
      <c r="B7">
        <f>COUNTIF($A$2:A7,A7)</f>
        <v>1</v>
      </c>
      <c r="C7" s="2">
        <v>45685</v>
      </c>
      <c r="D7" t="s">
        <v>17</v>
      </c>
      <c r="E7" t="s">
        <v>28</v>
      </c>
      <c r="F7" t="s">
        <v>24</v>
      </c>
      <c r="G7" t="s">
        <v>25</v>
      </c>
      <c r="H7" t="s">
        <v>30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40.799999999999997</v>
      </c>
    </row>
    <row r="8" spans="1:17">
      <c r="A8" t="s">
        <v>36</v>
      </c>
      <c r="B8">
        <f>COUNTIF($A$2:A8,A8)</f>
        <v>1</v>
      </c>
      <c r="C8" s="2">
        <v>45755</v>
      </c>
      <c r="D8" t="s">
        <v>17</v>
      </c>
      <c r="E8" t="s">
        <v>28</v>
      </c>
      <c r="F8" t="s">
        <v>24</v>
      </c>
      <c r="G8" t="s">
        <v>29</v>
      </c>
      <c r="H8" t="s">
        <v>21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Q8">
        <v>57.1</v>
      </c>
    </row>
    <row r="9" spans="1:17">
      <c r="A9" t="s">
        <v>37</v>
      </c>
      <c r="B9">
        <f>COUNTIF($A$2:A9,A9)</f>
        <v>1</v>
      </c>
      <c r="C9" s="2">
        <v>45794</v>
      </c>
      <c r="D9" t="s">
        <v>17</v>
      </c>
      <c r="E9" t="s">
        <v>32</v>
      </c>
      <c r="F9" t="s">
        <v>24</v>
      </c>
      <c r="G9" t="s">
        <v>29</v>
      </c>
      <c r="H9" t="s">
        <v>26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36.4</v>
      </c>
    </row>
    <row r="10" spans="1:17">
      <c r="A10" t="s">
        <v>38</v>
      </c>
      <c r="B10">
        <f>COUNTIF($A$2:A10,A10)</f>
        <v>1</v>
      </c>
      <c r="C10" s="2">
        <v>45711</v>
      </c>
      <c r="D10" t="s">
        <v>17</v>
      </c>
      <c r="E10" t="s">
        <v>32</v>
      </c>
      <c r="F10" t="s">
        <v>34</v>
      </c>
      <c r="G10" t="s">
        <v>39</v>
      </c>
      <c r="H10" t="s">
        <v>21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>
        <v>55.4</v>
      </c>
    </row>
    <row r="11" spans="1:17">
      <c r="A11" t="s">
        <v>40</v>
      </c>
      <c r="B11">
        <f>COUNTIF($A$2:A11,A11)</f>
        <v>1</v>
      </c>
      <c r="C11" s="2">
        <v>45806</v>
      </c>
      <c r="D11" t="s">
        <v>17</v>
      </c>
      <c r="E11" t="s">
        <v>23</v>
      </c>
      <c r="F11" t="s">
        <v>19</v>
      </c>
      <c r="G11" t="s">
        <v>41</v>
      </c>
      <c r="H11" t="s">
        <v>26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57.3</v>
      </c>
    </row>
    <row r="12" spans="1:17">
      <c r="A12" t="s">
        <v>42</v>
      </c>
      <c r="B12">
        <f>COUNTIF($A$2:A12,A12)</f>
        <v>1</v>
      </c>
      <c r="C12" s="2">
        <v>45777</v>
      </c>
      <c r="D12" t="s">
        <v>17</v>
      </c>
      <c r="E12" t="s">
        <v>28</v>
      </c>
      <c r="F12" t="s">
        <v>24</v>
      </c>
      <c r="G12" t="s">
        <v>29</v>
      </c>
      <c r="H12" t="s">
        <v>21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Q12">
        <v>63.6</v>
      </c>
    </row>
    <row r="13" spans="1:17">
      <c r="A13" t="s">
        <v>43</v>
      </c>
      <c r="B13">
        <f>COUNTIF($A$2:A13,A13)</f>
        <v>1</v>
      </c>
      <c r="C13" s="2">
        <v>45732</v>
      </c>
      <c r="D13" t="s">
        <v>17</v>
      </c>
      <c r="E13" t="s">
        <v>28</v>
      </c>
      <c r="F13" t="s">
        <v>24</v>
      </c>
      <c r="G13" t="s">
        <v>41</v>
      </c>
      <c r="H13" t="s">
        <v>30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Q13">
        <v>80.400000000000006</v>
      </c>
    </row>
    <row r="14" spans="1:17">
      <c r="A14" t="s">
        <v>44</v>
      </c>
      <c r="B14">
        <f>COUNTIF($A$2:A14,A14)</f>
        <v>1</v>
      </c>
      <c r="C14" s="2">
        <v>45695</v>
      </c>
      <c r="D14" t="s">
        <v>17</v>
      </c>
      <c r="E14" t="s">
        <v>32</v>
      </c>
      <c r="F14" t="s">
        <v>19</v>
      </c>
      <c r="G14" t="s">
        <v>20</v>
      </c>
      <c r="H14" t="s">
        <v>21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62.4</v>
      </c>
    </row>
    <row r="15" spans="1:17">
      <c r="A15" t="s">
        <v>45</v>
      </c>
      <c r="B15">
        <f>COUNTIF($A$2:A15,A15)</f>
        <v>1</v>
      </c>
      <c r="C15" s="2">
        <v>45718</v>
      </c>
      <c r="D15" t="s">
        <v>17</v>
      </c>
      <c r="E15" t="s">
        <v>23</v>
      </c>
      <c r="F15" t="s">
        <v>24</v>
      </c>
      <c r="G15" t="s">
        <v>41</v>
      </c>
      <c r="H15" t="s">
        <v>21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>
        <v>82.4</v>
      </c>
    </row>
    <row r="16" spans="1:17">
      <c r="A16" t="s">
        <v>46</v>
      </c>
      <c r="B16">
        <f>COUNTIF($A$2:A16,A16)</f>
        <v>1</v>
      </c>
      <c r="C16" s="2">
        <v>45807</v>
      </c>
      <c r="D16" t="s">
        <v>17</v>
      </c>
      <c r="E16" t="s">
        <v>32</v>
      </c>
      <c r="F16" t="s">
        <v>24</v>
      </c>
      <c r="G16" t="s">
        <v>25</v>
      </c>
      <c r="H16" t="s">
        <v>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61.2</v>
      </c>
    </row>
    <row r="17" spans="1:17">
      <c r="A17" t="s">
        <v>47</v>
      </c>
      <c r="B17">
        <f>COUNTIF($A$2:A17,A17)</f>
        <v>1</v>
      </c>
      <c r="C17" s="2">
        <v>45741</v>
      </c>
      <c r="D17" t="s">
        <v>17</v>
      </c>
      <c r="E17" t="s">
        <v>32</v>
      </c>
      <c r="F17" t="s">
        <v>24</v>
      </c>
      <c r="G17" t="s">
        <v>41</v>
      </c>
      <c r="H17" t="s">
        <v>21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68.900000000000006</v>
      </c>
    </row>
    <row r="18" spans="1:17">
      <c r="A18" t="s">
        <v>48</v>
      </c>
      <c r="B18">
        <f>COUNTIF($A$2:A18,A18)</f>
        <v>1</v>
      </c>
      <c r="C18" s="2">
        <v>45743</v>
      </c>
      <c r="D18" t="s">
        <v>17</v>
      </c>
      <c r="E18" t="s">
        <v>28</v>
      </c>
      <c r="F18" t="s">
        <v>19</v>
      </c>
      <c r="G18" t="s">
        <v>29</v>
      </c>
      <c r="H18" t="s">
        <v>26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Q18">
        <v>71.900000000000006</v>
      </c>
    </row>
    <row r="19" spans="1:17">
      <c r="A19" t="s">
        <v>49</v>
      </c>
      <c r="B19">
        <f>COUNTIF($A$2:A19,A19)</f>
        <v>1</v>
      </c>
      <c r="C19" s="2">
        <v>45805</v>
      </c>
      <c r="D19" t="s">
        <v>17</v>
      </c>
      <c r="E19" t="s">
        <v>32</v>
      </c>
      <c r="F19" t="s">
        <v>19</v>
      </c>
      <c r="G19" t="s">
        <v>29</v>
      </c>
      <c r="H19" t="s">
        <v>26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50.5</v>
      </c>
    </row>
    <row r="20" spans="1:17">
      <c r="A20" t="s">
        <v>50</v>
      </c>
      <c r="B20">
        <f>COUNTIF($A$2:A20,A20)</f>
        <v>1</v>
      </c>
      <c r="C20" s="2">
        <v>45703</v>
      </c>
      <c r="D20" t="s">
        <v>17</v>
      </c>
      <c r="E20" t="s">
        <v>18</v>
      </c>
      <c r="F20" t="s">
        <v>19</v>
      </c>
      <c r="G20" t="s">
        <v>29</v>
      </c>
      <c r="H20" t="s">
        <v>21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49.3</v>
      </c>
    </row>
    <row r="21" spans="1:17">
      <c r="A21" t="s">
        <v>51</v>
      </c>
      <c r="B21">
        <f>COUNTIF($A$2:A21,A21)</f>
        <v>1</v>
      </c>
      <c r="C21" s="2">
        <v>45782</v>
      </c>
      <c r="D21" t="s">
        <v>17</v>
      </c>
      <c r="E21" t="s">
        <v>23</v>
      </c>
      <c r="F21" t="s">
        <v>19</v>
      </c>
      <c r="G21" t="s">
        <v>25</v>
      </c>
      <c r="H21" t="s">
        <v>21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Q21">
        <v>60.9</v>
      </c>
    </row>
    <row r="22" spans="1:17">
      <c r="A22" t="s">
        <v>52</v>
      </c>
      <c r="B22">
        <f>COUNTIF($A$2:A22,A22)</f>
        <v>1</v>
      </c>
      <c r="C22" s="2">
        <v>45760</v>
      </c>
      <c r="D22" t="s">
        <v>17</v>
      </c>
      <c r="E22" t="s">
        <v>28</v>
      </c>
      <c r="F22" t="s">
        <v>24</v>
      </c>
      <c r="G22" t="s">
        <v>41</v>
      </c>
      <c r="H22" t="s">
        <v>26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62.7</v>
      </c>
    </row>
    <row r="23" spans="1:17">
      <c r="A23" t="s">
        <v>53</v>
      </c>
      <c r="B23">
        <f>COUNTIF($A$2:A23,A23)</f>
        <v>1</v>
      </c>
      <c r="C23" s="2">
        <v>45784</v>
      </c>
      <c r="D23" t="s">
        <v>17</v>
      </c>
      <c r="E23" t="s">
        <v>18</v>
      </c>
      <c r="F23" t="s">
        <v>19</v>
      </c>
      <c r="G23" t="s">
        <v>29</v>
      </c>
      <c r="H23" t="s">
        <v>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52.7</v>
      </c>
    </row>
    <row r="24" spans="1:17">
      <c r="A24" t="s">
        <v>54</v>
      </c>
      <c r="B24">
        <f>COUNTIF($A$2:A24,A24)</f>
        <v>1</v>
      </c>
      <c r="C24" s="2">
        <v>45802</v>
      </c>
      <c r="D24" t="s">
        <v>17</v>
      </c>
      <c r="E24" t="s">
        <v>18</v>
      </c>
      <c r="F24" t="s">
        <v>19</v>
      </c>
      <c r="G24" t="s">
        <v>25</v>
      </c>
      <c r="H24" t="s">
        <v>26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54</v>
      </c>
    </row>
    <row r="25" spans="1:17">
      <c r="A25" t="s">
        <v>55</v>
      </c>
      <c r="B25">
        <f>COUNTIF($A$2:A25,A25)</f>
        <v>1</v>
      </c>
      <c r="C25" s="2">
        <v>45748</v>
      </c>
      <c r="D25" t="s">
        <v>17</v>
      </c>
      <c r="E25" t="s">
        <v>28</v>
      </c>
      <c r="F25" t="s">
        <v>24</v>
      </c>
      <c r="G25" t="s">
        <v>29</v>
      </c>
      <c r="H25" t="s">
        <v>30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Q25">
        <v>51.6</v>
      </c>
    </row>
    <row r="26" spans="1:17">
      <c r="A26" t="s">
        <v>56</v>
      </c>
      <c r="B26">
        <f>COUNTIF($A$2:A26,A26)</f>
        <v>1</v>
      </c>
      <c r="C26" s="2">
        <v>45710</v>
      </c>
      <c r="D26" t="s">
        <v>17</v>
      </c>
      <c r="E26" t="s">
        <v>18</v>
      </c>
      <c r="F26" t="s">
        <v>24</v>
      </c>
      <c r="G26" t="s">
        <v>29</v>
      </c>
      <c r="H26" t="s">
        <v>30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Q26">
        <v>66.900000000000006</v>
      </c>
    </row>
    <row r="27" spans="1:17">
      <c r="A27" t="s">
        <v>57</v>
      </c>
      <c r="B27">
        <f>COUNTIF($A$2:A27,A27)</f>
        <v>1</v>
      </c>
      <c r="C27" s="2">
        <v>45740</v>
      </c>
      <c r="D27" t="s">
        <v>17</v>
      </c>
      <c r="E27" t="s">
        <v>28</v>
      </c>
      <c r="F27" t="s">
        <v>24</v>
      </c>
      <c r="G27" t="s">
        <v>25</v>
      </c>
      <c r="H27" t="s">
        <v>21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67.400000000000006</v>
      </c>
    </row>
    <row r="28" spans="1:17">
      <c r="A28" t="s">
        <v>58</v>
      </c>
      <c r="B28">
        <f>COUNTIF($A$2:A28,A28)</f>
        <v>1</v>
      </c>
      <c r="C28" s="2">
        <v>45701</v>
      </c>
      <c r="D28" t="s">
        <v>17</v>
      </c>
      <c r="E28" t="s">
        <v>18</v>
      </c>
      <c r="F28" t="s">
        <v>24</v>
      </c>
      <c r="G28" t="s">
        <v>25</v>
      </c>
      <c r="H28" t="s">
        <v>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58.8</v>
      </c>
    </row>
    <row r="29" spans="1:17">
      <c r="A29" t="s">
        <v>59</v>
      </c>
      <c r="B29">
        <f>COUNTIF($A$2:A29,A29)</f>
        <v>1</v>
      </c>
      <c r="C29" s="2">
        <v>45807</v>
      </c>
      <c r="D29" t="s">
        <v>17</v>
      </c>
      <c r="E29" t="s">
        <v>32</v>
      </c>
      <c r="F29" t="s">
        <v>24</v>
      </c>
      <c r="G29" t="s">
        <v>25</v>
      </c>
      <c r="H29" t="s">
        <v>26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73.8</v>
      </c>
    </row>
    <row r="30" spans="1:17">
      <c r="A30" t="s">
        <v>60</v>
      </c>
      <c r="B30">
        <f>COUNTIF($A$2:A30,A30)</f>
        <v>1</v>
      </c>
      <c r="C30" s="2">
        <v>45677</v>
      </c>
      <c r="D30" t="s">
        <v>17</v>
      </c>
      <c r="E30" t="s">
        <v>28</v>
      </c>
      <c r="F30" t="s">
        <v>34</v>
      </c>
      <c r="G30" t="s">
        <v>25</v>
      </c>
      <c r="H30" t="s">
        <v>21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60.1</v>
      </c>
    </row>
    <row r="31" spans="1:17">
      <c r="A31" t="s">
        <v>61</v>
      </c>
      <c r="B31">
        <f>COUNTIF($A$2:A31,A31)</f>
        <v>1</v>
      </c>
      <c r="C31" s="2">
        <v>45796</v>
      </c>
      <c r="D31" t="s">
        <v>17</v>
      </c>
      <c r="E31" t="s">
        <v>28</v>
      </c>
      <c r="F31" t="s">
        <v>24</v>
      </c>
      <c r="G31" t="s">
        <v>41</v>
      </c>
      <c r="H31" t="s">
        <v>21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Q31">
        <v>41</v>
      </c>
    </row>
    <row r="32" spans="1:17">
      <c r="A32" t="s">
        <v>62</v>
      </c>
      <c r="B32">
        <f>COUNTIF($A$2:A32,A32)</f>
        <v>1</v>
      </c>
      <c r="C32" s="2">
        <v>45706</v>
      </c>
      <c r="D32" t="s">
        <v>17</v>
      </c>
      <c r="E32" t="s">
        <v>32</v>
      </c>
      <c r="F32" t="s">
        <v>24</v>
      </c>
      <c r="G32" t="s">
        <v>25</v>
      </c>
      <c r="H32" t="s">
        <v>21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80.3</v>
      </c>
    </row>
    <row r="33" spans="1:17">
      <c r="A33" t="s">
        <v>63</v>
      </c>
      <c r="B33">
        <f>COUNTIF($A$2:A33,A33)</f>
        <v>1</v>
      </c>
      <c r="C33" s="2">
        <v>45701</v>
      </c>
      <c r="D33" t="s">
        <v>17</v>
      </c>
      <c r="E33" t="s">
        <v>28</v>
      </c>
      <c r="F33" t="s">
        <v>24</v>
      </c>
      <c r="G33" t="s">
        <v>25</v>
      </c>
      <c r="H33" t="s">
        <v>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67.599999999999994</v>
      </c>
    </row>
    <row r="34" spans="1:17">
      <c r="A34" t="s">
        <v>64</v>
      </c>
      <c r="B34">
        <f>COUNTIF($A$2:A34,A34)</f>
        <v>1</v>
      </c>
      <c r="C34" s="2">
        <v>45724</v>
      </c>
      <c r="D34" t="s">
        <v>17</v>
      </c>
      <c r="E34" t="s">
        <v>28</v>
      </c>
      <c r="F34" t="s">
        <v>19</v>
      </c>
      <c r="G34" t="s">
        <v>39</v>
      </c>
      <c r="H34" t="s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64</v>
      </c>
    </row>
    <row r="35" spans="1:17">
      <c r="A35" t="s">
        <v>65</v>
      </c>
      <c r="B35">
        <f>COUNTIF($A$2:A35,A35)</f>
        <v>1</v>
      </c>
      <c r="C35" s="2">
        <v>45668</v>
      </c>
      <c r="D35" t="s">
        <v>17</v>
      </c>
      <c r="E35" t="s">
        <v>18</v>
      </c>
      <c r="F35" t="s">
        <v>24</v>
      </c>
      <c r="G35" t="s">
        <v>29</v>
      </c>
      <c r="H35" t="s">
        <v>26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Q35">
        <v>27.2</v>
      </c>
    </row>
    <row r="36" spans="1:17">
      <c r="A36" t="s">
        <v>66</v>
      </c>
      <c r="B36">
        <f>COUNTIF($A$2:A36,A36)</f>
        <v>1</v>
      </c>
      <c r="C36" s="2">
        <v>45700</v>
      </c>
      <c r="D36" t="s">
        <v>17</v>
      </c>
      <c r="E36" t="s">
        <v>18</v>
      </c>
      <c r="F36" t="s">
        <v>19</v>
      </c>
      <c r="G36" t="s">
        <v>25</v>
      </c>
      <c r="H36" t="s">
        <v>26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85.4</v>
      </c>
    </row>
    <row r="37" spans="1:17">
      <c r="A37" t="s">
        <v>67</v>
      </c>
      <c r="B37">
        <f>COUNTIF($A$2:A37,A37)</f>
        <v>1</v>
      </c>
      <c r="C37" s="2">
        <v>45760</v>
      </c>
      <c r="D37" t="s">
        <v>17</v>
      </c>
      <c r="E37" t="s">
        <v>28</v>
      </c>
      <c r="F37" t="s">
        <v>19</v>
      </c>
      <c r="G37" t="s">
        <v>25</v>
      </c>
      <c r="H37" t="s">
        <v>21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75.900000000000006</v>
      </c>
    </row>
    <row r="38" spans="1:17">
      <c r="A38" t="s">
        <v>68</v>
      </c>
      <c r="B38">
        <f>COUNTIF($A$2:A38,A38)</f>
        <v>1</v>
      </c>
      <c r="C38" s="2">
        <v>45786</v>
      </c>
      <c r="D38" t="s">
        <v>17</v>
      </c>
      <c r="E38" t="s">
        <v>28</v>
      </c>
      <c r="F38" t="s">
        <v>24</v>
      </c>
      <c r="G38" t="s">
        <v>25</v>
      </c>
      <c r="H38" t="s">
        <v>30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Q38">
        <v>34.799999999999997</v>
      </c>
    </row>
    <row r="39" spans="1:17">
      <c r="A39" t="s">
        <v>69</v>
      </c>
      <c r="B39">
        <f>COUNTIF($A$2:A39,A39)</f>
        <v>1</v>
      </c>
      <c r="C39" s="2">
        <v>45677</v>
      </c>
      <c r="D39" t="s">
        <v>17</v>
      </c>
      <c r="E39" t="s">
        <v>28</v>
      </c>
      <c r="F39" t="s">
        <v>24</v>
      </c>
      <c r="G39" t="s">
        <v>25</v>
      </c>
      <c r="H39" t="s">
        <v>26</v>
      </c>
      <c r="I39">
        <v>1</v>
      </c>
      <c r="J39">
        <v>1</v>
      </c>
      <c r="K39">
        <v>1</v>
      </c>
      <c r="L39">
        <v>0</v>
      </c>
      <c r="M39">
        <v>0</v>
      </c>
      <c r="N39">
        <v>3</v>
      </c>
      <c r="O39">
        <v>0</v>
      </c>
      <c r="Q39">
        <v>48.9</v>
      </c>
    </row>
    <row r="40" spans="1:17">
      <c r="A40" t="s">
        <v>70</v>
      </c>
      <c r="B40">
        <f>COUNTIF($A$2:A40,A40)</f>
        <v>1</v>
      </c>
      <c r="C40" s="2">
        <v>45790</v>
      </c>
      <c r="D40" t="s">
        <v>17</v>
      </c>
      <c r="E40" t="s">
        <v>28</v>
      </c>
      <c r="F40" t="s">
        <v>24</v>
      </c>
      <c r="G40" t="s">
        <v>20</v>
      </c>
      <c r="H40" t="s">
        <v>30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41.5</v>
      </c>
    </row>
    <row r="41" spans="1:17">
      <c r="A41" t="s">
        <v>71</v>
      </c>
      <c r="B41">
        <f>COUNTIF($A$2:A41,A41)</f>
        <v>1</v>
      </c>
      <c r="C41" s="2">
        <v>45754</v>
      </c>
      <c r="D41" t="s">
        <v>17</v>
      </c>
      <c r="E41" t="s">
        <v>18</v>
      </c>
      <c r="F41" t="s">
        <v>19</v>
      </c>
      <c r="G41" t="s">
        <v>25</v>
      </c>
      <c r="H41" t="s">
        <v>21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51.5</v>
      </c>
    </row>
    <row r="42" spans="1:17">
      <c r="A42" t="s">
        <v>72</v>
      </c>
      <c r="B42">
        <f>COUNTIF($A$2:A42,A42)</f>
        <v>1</v>
      </c>
      <c r="C42" s="2">
        <v>45747</v>
      </c>
      <c r="D42" t="s">
        <v>17</v>
      </c>
      <c r="E42" t="s">
        <v>18</v>
      </c>
      <c r="F42" t="s">
        <v>19</v>
      </c>
      <c r="G42" t="s">
        <v>25</v>
      </c>
      <c r="H42" t="s">
        <v>26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53.2</v>
      </c>
    </row>
    <row r="43" spans="1:17">
      <c r="A43" t="s">
        <v>73</v>
      </c>
      <c r="B43">
        <f>COUNTIF($A$2:A43,A43)</f>
        <v>1</v>
      </c>
      <c r="C43" s="2">
        <v>45682</v>
      </c>
      <c r="D43" t="s">
        <v>17</v>
      </c>
      <c r="E43" t="s">
        <v>28</v>
      </c>
      <c r="F43" t="s">
        <v>24</v>
      </c>
      <c r="G43" t="s">
        <v>20</v>
      </c>
      <c r="H43" t="s">
        <v>30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55.6</v>
      </c>
    </row>
    <row r="44" spans="1:17">
      <c r="A44" t="s">
        <v>74</v>
      </c>
      <c r="B44">
        <f>COUNTIF($A$2:A44,A44)</f>
        <v>1</v>
      </c>
      <c r="C44" s="2">
        <v>45702</v>
      </c>
      <c r="D44" t="s">
        <v>17</v>
      </c>
      <c r="E44" t="s">
        <v>32</v>
      </c>
      <c r="F44" t="s">
        <v>19</v>
      </c>
      <c r="G44" t="s">
        <v>25</v>
      </c>
      <c r="H44" t="s">
        <v>26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73</v>
      </c>
    </row>
    <row r="45" spans="1:17">
      <c r="A45" t="s">
        <v>75</v>
      </c>
      <c r="B45">
        <f>COUNTIF($A$2:A45,A45)</f>
        <v>1</v>
      </c>
      <c r="C45" s="2">
        <v>45715</v>
      </c>
      <c r="D45" t="s">
        <v>17</v>
      </c>
      <c r="E45" t="s">
        <v>28</v>
      </c>
      <c r="F45" t="s">
        <v>24</v>
      </c>
      <c r="G45" t="s">
        <v>20</v>
      </c>
      <c r="H45" t="s">
        <v>26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65</v>
      </c>
    </row>
    <row r="46" spans="1:17">
      <c r="A46" t="s">
        <v>76</v>
      </c>
      <c r="B46">
        <f>COUNTIF($A$2:A46,A46)</f>
        <v>1</v>
      </c>
      <c r="C46" s="2">
        <v>45744</v>
      </c>
      <c r="D46" t="s">
        <v>17</v>
      </c>
      <c r="E46" t="s">
        <v>28</v>
      </c>
      <c r="F46" t="s">
        <v>24</v>
      </c>
      <c r="G46" t="s">
        <v>41</v>
      </c>
      <c r="H46" t="s">
        <v>26</v>
      </c>
      <c r="I46">
        <v>1</v>
      </c>
      <c r="J46">
        <v>0</v>
      </c>
      <c r="K46">
        <v>0</v>
      </c>
      <c r="L46">
        <v>0</v>
      </c>
      <c r="M46">
        <v>0</v>
      </c>
      <c r="N46">
        <v>4</v>
      </c>
      <c r="O46">
        <v>0</v>
      </c>
      <c r="Q46">
        <v>56.3</v>
      </c>
    </row>
    <row r="47" spans="1:17">
      <c r="A47" t="s">
        <v>77</v>
      </c>
      <c r="B47">
        <f>COUNTIF($A$2:A47,A47)</f>
        <v>1</v>
      </c>
      <c r="C47" s="2">
        <v>45802</v>
      </c>
      <c r="D47" t="s">
        <v>17</v>
      </c>
      <c r="E47" t="s">
        <v>28</v>
      </c>
      <c r="F47" t="s">
        <v>24</v>
      </c>
      <c r="G47" t="s">
        <v>39</v>
      </c>
      <c r="H47" t="s">
        <v>30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62.4</v>
      </c>
    </row>
    <row r="48" spans="1:17">
      <c r="A48" t="s">
        <v>78</v>
      </c>
      <c r="B48">
        <f>COUNTIF($A$2:A48,A48)</f>
        <v>1</v>
      </c>
      <c r="C48" s="2">
        <v>45782</v>
      </c>
      <c r="D48" t="s">
        <v>17</v>
      </c>
      <c r="E48" t="s">
        <v>23</v>
      </c>
      <c r="F48" t="s">
        <v>19</v>
      </c>
      <c r="G48" t="s">
        <v>25</v>
      </c>
      <c r="H48" t="s">
        <v>26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Q48">
        <v>58.1</v>
      </c>
    </row>
    <row r="49" spans="1:17">
      <c r="A49" t="s">
        <v>79</v>
      </c>
      <c r="B49">
        <f>COUNTIF($A$2:A49,A49)</f>
        <v>1</v>
      </c>
      <c r="C49" s="2">
        <v>45793</v>
      </c>
      <c r="D49" t="s">
        <v>17</v>
      </c>
      <c r="E49" t="s">
        <v>18</v>
      </c>
      <c r="F49" t="s">
        <v>24</v>
      </c>
      <c r="G49" t="s">
        <v>25</v>
      </c>
      <c r="H49" t="s">
        <v>26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Q49">
        <v>80.8</v>
      </c>
    </row>
    <row r="50" spans="1:17">
      <c r="A50" t="s">
        <v>80</v>
      </c>
      <c r="B50">
        <f>COUNTIF($A$2:A50,A50)</f>
        <v>1</v>
      </c>
      <c r="C50" s="2">
        <v>45665</v>
      </c>
      <c r="D50" t="s">
        <v>17</v>
      </c>
      <c r="E50" t="s">
        <v>18</v>
      </c>
      <c r="F50" t="s">
        <v>24</v>
      </c>
      <c r="G50" t="s">
        <v>41</v>
      </c>
      <c r="H50" t="s">
        <v>26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Q50">
        <v>42.9</v>
      </c>
    </row>
    <row r="51" spans="1:17">
      <c r="A51" t="s">
        <v>81</v>
      </c>
      <c r="B51">
        <f>COUNTIF($A$2:A51,A51)</f>
        <v>1</v>
      </c>
      <c r="C51" s="2">
        <v>45663</v>
      </c>
      <c r="D51" t="s">
        <v>17</v>
      </c>
      <c r="E51" t="s">
        <v>23</v>
      </c>
      <c r="F51" t="s">
        <v>19</v>
      </c>
      <c r="G51" t="s">
        <v>29</v>
      </c>
      <c r="H51" t="s">
        <v>26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52.7</v>
      </c>
    </row>
    <row r="52" spans="1:17">
      <c r="A52" t="s">
        <v>82</v>
      </c>
      <c r="B52">
        <f>COUNTIF($A$2:A52,A52)</f>
        <v>1</v>
      </c>
      <c r="C52" s="2">
        <v>45669</v>
      </c>
      <c r="D52" t="s">
        <v>17</v>
      </c>
      <c r="E52" t="s">
        <v>18</v>
      </c>
      <c r="F52" t="s">
        <v>24</v>
      </c>
      <c r="G52" t="s">
        <v>41</v>
      </c>
      <c r="H52" t="s">
        <v>21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46.9</v>
      </c>
    </row>
    <row r="53" spans="1:17">
      <c r="A53" t="s">
        <v>83</v>
      </c>
      <c r="B53">
        <f>COUNTIF($A$2:A53,A53)</f>
        <v>1</v>
      </c>
      <c r="C53" s="2">
        <v>45702</v>
      </c>
      <c r="D53" t="s">
        <v>17</v>
      </c>
      <c r="E53" t="s">
        <v>28</v>
      </c>
      <c r="F53" t="s">
        <v>19</v>
      </c>
      <c r="G53" t="s">
        <v>20</v>
      </c>
      <c r="H53" t="s">
        <v>30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63</v>
      </c>
    </row>
    <row r="54" spans="1:17">
      <c r="A54" t="s">
        <v>84</v>
      </c>
      <c r="B54">
        <f>COUNTIF($A$2:A54,A54)</f>
        <v>1</v>
      </c>
      <c r="C54" s="2">
        <v>45726</v>
      </c>
      <c r="D54" t="s">
        <v>17</v>
      </c>
      <c r="E54" t="s">
        <v>32</v>
      </c>
      <c r="F54" t="s">
        <v>34</v>
      </c>
      <c r="G54" t="s">
        <v>25</v>
      </c>
      <c r="H54" t="s">
        <v>26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53.6</v>
      </c>
    </row>
    <row r="55" spans="1:17">
      <c r="A55" t="s">
        <v>85</v>
      </c>
      <c r="B55">
        <f>COUNTIF($A$2:A55,A55)</f>
        <v>1</v>
      </c>
      <c r="C55" s="2">
        <v>45767</v>
      </c>
      <c r="D55" t="s">
        <v>17</v>
      </c>
      <c r="E55" t="s">
        <v>23</v>
      </c>
      <c r="F55" t="s">
        <v>19</v>
      </c>
      <c r="G55" t="s">
        <v>25</v>
      </c>
      <c r="H55" t="s">
        <v>21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49.6</v>
      </c>
    </row>
    <row r="56" spans="1:17">
      <c r="A56" t="s">
        <v>86</v>
      </c>
      <c r="B56">
        <f>COUNTIF($A$2:A56,A56)</f>
        <v>1</v>
      </c>
      <c r="C56" s="2">
        <v>45707</v>
      </c>
      <c r="D56" t="s">
        <v>17</v>
      </c>
      <c r="E56" t="s">
        <v>32</v>
      </c>
      <c r="F56" t="s">
        <v>24</v>
      </c>
      <c r="G56" t="s">
        <v>25</v>
      </c>
      <c r="H56" t="s">
        <v>26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54</v>
      </c>
    </row>
    <row r="57" spans="1:17">
      <c r="A57" t="s">
        <v>87</v>
      </c>
      <c r="B57">
        <f>COUNTIF($A$2:A57,A57)</f>
        <v>1</v>
      </c>
      <c r="C57" s="2">
        <v>45794</v>
      </c>
      <c r="D57" t="s">
        <v>17</v>
      </c>
      <c r="E57" t="s">
        <v>32</v>
      </c>
      <c r="F57" t="s">
        <v>24</v>
      </c>
      <c r="G57" t="s">
        <v>41</v>
      </c>
      <c r="H57" t="s">
        <v>21</v>
      </c>
      <c r="I57">
        <v>1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Q57">
        <v>50</v>
      </c>
    </row>
    <row r="58" spans="1:17">
      <c r="A58" t="s">
        <v>88</v>
      </c>
      <c r="B58">
        <f>COUNTIF($A$2:A58,A58)</f>
        <v>1</v>
      </c>
      <c r="C58" s="2">
        <v>45748</v>
      </c>
      <c r="D58" t="s">
        <v>17</v>
      </c>
      <c r="E58" t="s">
        <v>28</v>
      </c>
      <c r="F58" t="s">
        <v>24</v>
      </c>
      <c r="G58" t="s">
        <v>41</v>
      </c>
      <c r="H58" t="s">
        <v>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48.1</v>
      </c>
    </row>
    <row r="59" spans="1:17">
      <c r="A59" t="s">
        <v>89</v>
      </c>
      <c r="B59">
        <f>COUNTIF($A$2:A59,A59)</f>
        <v>1</v>
      </c>
      <c r="C59" s="2">
        <v>45692</v>
      </c>
      <c r="D59" t="s">
        <v>17</v>
      </c>
      <c r="E59" t="s">
        <v>18</v>
      </c>
      <c r="F59" t="s">
        <v>19</v>
      </c>
      <c r="G59" t="s">
        <v>25</v>
      </c>
      <c r="H59" t="s">
        <v>26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49.6</v>
      </c>
    </row>
    <row r="60" spans="1:17">
      <c r="A60" t="s">
        <v>90</v>
      </c>
      <c r="B60">
        <f>COUNTIF($A$2:A60,A60)</f>
        <v>1</v>
      </c>
      <c r="C60" s="2">
        <v>45761</v>
      </c>
      <c r="D60" t="s">
        <v>17</v>
      </c>
      <c r="E60" t="s">
        <v>18</v>
      </c>
      <c r="F60" t="s">
        <v>24</v>
      </c>
      <c r="G60" t="s">
        <v>41</v>
      </c>
      <c r="H60" t="s">
        <v>26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Q60">
        <v>48.9</v>
      </c>
    </row>
    <row r="61" spans="1:17">
      <c r="A61" t="s">
        <v>91</v>
      </c>
      <c r="B61">
        <f>COUNTIF($A$2:A61,A61)</f>
        <v>1</v>
      </c>
      <c r="C61" s="2">
        <v>45658</v>
      </c>
      <c r="D61" t="s">
        <v>17</v>
      </c>
      <c r="E61" t="s">
        <v>23</v>
      </c>
      <c r="F61" t="s">
        <v>24</v>
      </c>
      <c r="G61" t="s">
        <v>41</v>
      </c>
      <c r="H61" t="s">
        <v>26</v>
      </c>
      <c r="I61">
        <v>1</v>
      </c>
      <c r="J61">
        <v>1</v>
      </c>
      <c r="K61">
        <v>1</v>
      </c>
      <c r="L61">
        <v>1</v>
      </c>
      <c r="M61">
        <v>240.42</v>
      </c>
      <c r="N61">
        <v>0</v>
      </c>
      <c r="O61">
        <v>0</v>
      </c>
      <c r="P61">
        <v>16</v>
      </c>
      <c r="Q61">
        <v>56.5</v>
      </c>
    </row>
    <row r="62" spans="1:17">
      <c r="A62" t="s">
        <v>92</v>
      </c>
      <c r="B62">
        <f>COUNTIF($A$2:A62,A62)</f>
        <v>1</v>
      </c>
      <c r="C62" s="2">
        <v>45749</v>
      </c>
      <c r="D62" t="s">
        <v>17</v>
      </c>
      <c r="E62" t="s">
        <v>32</v>
      </c>
      <c r="F62" t="s">
        <v>24</v>
      </c>
      <c r="G62" t="s">
        <v>39</v>
      </c>
      <c r="H62" t="s">
        <v>26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>
        <v>53.7</v>
      </c>
    </row>
    <row r="63" spans="1:17">
      <c r="A63" t="s">
        <v>93</v>
      </c>
      <c r="B63">
        <f>COUNTIF($A$2:A63,A63)</f>
        <v>1</v>
      </c>
      <c r="C63" s="2">
        <v>45745</v>
      </c>
      <c r="D63" t="s">
        <v>17</v>
      </c>
      <c r="E63" t="s">
        <v>18</v>
      </c>
      <c r="F63" t="s">
        <v>24</v>
      </c>
      <c r="G63" t="s">
        <v>41</v>
      </c>
      <c r="H63" t="s">
        <v>30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62.2</v>
      </c>
    </row>
    <row r="64" spans="1:17">
      <c r="A64" t="s">
        <v>94</v>
      </c>
      <c r="B64">
        <f>COUNTIF($A$2:A64,A64)</f>
        <v>1</v>
      </c>
      <c r="C64" s="2">
        <v>45792</v>
      </c>
      <c r="D64" t="s">
        <v>17</v>
      </c>
      <c r="E64" t="s">
        <v>32</v>
      </c>
      <c r="F64" t="s">
        <v>19</v>
      </c>
      <c r="G64" t="s">
        <v>25</v>
      </c>
      <c r="H64" t="s">
        <v>26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50.2</v>
      </c>
    </row>
    <row r="65" spans="1:17">
      <c r="A65" t="s">
        <v>95</v>
      </c>
      <c r="B65">
        <f>COUNTIF($A$2:A65,A65)</f>
        <v>1</v>
      </c>
      <c r="C65" s="2">
        <v>45758</v>
      </c>
      <c r="D65" t="s">
        <v>17</v>
      </c>
      <c r="E65" t="s">
        <v>18</v>
      </c>
      <c r="F65" t="s">
        <v>24</v>
      </c>
      <c r="G65" t="s">
        <v>25</v>
      </c>
      <c r="H65" t="s">
        <v>21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74.3</v>
      </c>
    </row>
    <row r="66" spans="1:17">
      <c r="A66" t="s">
        <v>96</v>
      </c>
      <c r="B66">
        <f>COUNTIF($A$2:A66,A66)</f>
        <v>1</v>
      </c>
      <c r="C66" s="2">
        <v>45723</v>
      </c>
      <c r="D66" t="s">
        <v>17</v>
      </c>
      <c r="E66" t="s">
        <v>32</v>
      </c>
      <c r="F66" t="s">
        <v>19</v>
      </c>
      <c r="G66" t="s">
        <v>29</v>
      </c>
      <c r="H66" t="s">
        <v>26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58</v>
      </c>
    </row>
    <row r="67" spans="1:17">
      <c r="A67" t="s">
        <v>97</v>
      </c>
      <c r="B67">
        <f>COUNTIF($A$2:A67,A67)</f>
        <v>1</v>
      </c>
      <c r="C67" s="2">
        <v>45807</v>
      </c>
      <c r="D67" t="s">
        <v>17</v>
      </c>
      <c r="E67" t="s">
        <v>32</v>
      </c>
      <c r="F67" t="s">
        <v>24</v>
      </c>
      <c r="G67" t="s">
        <v>25</v>
      </c>
      <c r="H67" t="s">
        <v>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46.7</v>
      </c>
    </row>
    <row r="68" spans="1:17">
      <c r="A68" t="s">
        <v>98</v>
      </c>
      <c r="B68">
        <f>COUNTIF($A$2:A68,A68)</f>
        <v>1</v>
      </c>
      <c r="C68" s="2">
        <v>45664</v>
      </c>
      <c r="D68" t="s">
        <v>17</v>
      </c>
      <c r="E68" t="s">
        <v>32</v>
      </c>
      <c r="F68" t="s">
        <v>19</v>
      </c>
      <c r="G68" t="s">
        <v>25</v>
      </c>
      <c r="H68" t="s">
        <v>30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Q68">
        <v>49.6</v>
      </c>
    </row>
    <row r="69" spans="1:17">
      <c r="A69" t="s">
        <v>99</v>
      </c>
      <c r="B69">
        <f>COUNTIF($A$2:A69,A69)</f>
        <v>1</v>
      </c>
      <c r="C69" s="2">
        <v>45785</v>
      </c>
      <c r="D69" t="s">
        <v>17</v>
      </c>
      <c r="E69" t="s">
        <v>23</v>
      </c>
      <c r="F69" t="s">
        <v>24</v>
      </c>
      <c r="G69" t="s">
        <v>41</v>
      </c>
      <c r="H69" t="s">
        <v>26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60.4</v>
      </c>
    </row>
    <row r="70" spans="1:17">
      <c r="A70" t="s">
        <v>100</v>
      </c>
      <c r="B70">
        <f>COUNTIF($A$2:A70,A70)</f>
        <v>1</v>
      </c>
      <c r="C70" s="2">
        <v>45735</v>
      </c>
      <c r="D70" t="s">
        <v>17</v>
      </c>
      <c r="E70" t="s">
        <v>28</v>
      </c>
      <c r="F70" t="s">
        <v>19</v>
      </c>
      <c r="G70" t="s">
        <v>20</v>
      </c>
      <c r="H70" t="s">
        <v>26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Q70">
        <v>55.3</v>
      </c>
    </row>
    <row r="71" spans="1:17">
      <c r="A71" t="s">
        <v>101</v>
      </c>
      <c r="B71">
        <f>COUNTIF($A$2:A71,A71)</f>
        <v>1</v>
      </c>
      <c r="C71" s="2">
        <v>45793</v>
      </c>
      <c r="D71" t="s">
        <v>17</v>
      </c>
      <c r="E71" t="s">
        <v>18</v>
      </c>
      <c r="F71" t="s">
        <v>19</v>
      </c>
      <c r="G71" t="s">
        <v>25</v>
      </c>
      <c r="H71" t="s">
        <v>26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v>56.2</v>
      </c>
    </row>
    <row r="72" spans="1:17">
      <c r="A72" t="s">
        <v>102</v>
      </c>
      <c r="B72">
        <f>COUNTIF($A$2:A72,A72)</f>
        <v>1</v>
      </c>
      <c r="C72" s="2">
        <v>45724</v>
      </c>
      <c r="D72" t="s">
        <v>17</v>
      </c>
      <c r="E72" t="s">
        <v>23</v>
      </c>
      <c r="F72" t="s">
        <v>24</v>
      </c>
      <c r="G72" t="s">
        <v>20</v>
      </c>
      <c r="H72" t="s">
        <v>26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29.4</v>
      </c>
    </row>
    <row r="73" spans="1:17">
      <c r="A73" t="s">
        <v>103</v>
      </c>
      <c r="B73">
        <f>COUNTIF($A$2:A73,A73)</f>
        <v>1</v>
      </c>
      <c r="C73" s="2">
        <v>45724</v>
      </c>
      <c r="D73" t="s">
        <v>17</v>
      </c>
      <c r="E73" t="s">
        <v>28</v>
      </c>
      <c r="F73" t="s">
        <v>24</v>
      </c>
      <c r="G73" t="s">
        <v>20</v>
      </c>
      <c r="H73" t="s">
        <v>26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54.2</v>
      </c>
    </row>
    <row r="74" spans="1:17">
      <c r="A74" t="s">
        <v>104</v>
      </c>
      <c r="B74">
        <f>COUNTIF($A$2:A74,A74)</f>
        <v>1</v>
      </c>
      <c r="C74" s="2">
        <v>45671</v>
      </c>
      <c r="D74" t="s">
        <v>17</v>
      </c>
      <c r="E74" t="s">
        <v>28</v>
      </c>
      <c r="F74" t="s">
        <v>19</v>
      </c>
      <c r="G74" t="s">
        <v>29</v>
      </c>
      <c r="H74" t="s">
        <v>21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46.4</v>
      </c>
    </row>
    <row r="75" spans="1:17">
      <c r="A75" t="s">
        <v>105</v>
      </c>
      <c r="B75">
        <f>COUNTIF($A$2:A75,A75)</f>
        <v>1</v>
      </c>
      <c r="C75" s="2">
        <v>45698</v>
      </c>
      <c r="D75" t="s">
        <v>17</v>
      </c>
      <c r="E75" t="s">
        <v>32</v>
      </c>
      <c r="F75" t="s">
        <v>24</v>
      </c>
      <c r="G75" t="s">
        <v>29</v>
      </c>
      <c r="H75" t="s">
        <v>21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54.5</v>
      </c>
    </row>
    <row r="76" spans="1:17">
      <c r="A76" t="s">
        <v>106</v>
      </c>
      <c r="B76">
        <f>COUNTIF($A$2:A76,A76)</f>
        <v>1</v>
      </c>
      <c r="C76" s="2">
        <v>45733</v>
      </c>
      <c r="D76" t="s">
        <v>17</v>
      </c>
      <c r="E76" t="s">
        <v>18</v>
      </c>
      <c r="F76" t="s">
        <v>24</v>
      </c>
      <c r="G76" t="s">
        <v>25</v>
      </c>
      <c r="H76" t="s">
        <v>26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58.5</v>
      </c>
    </row>
    <row r="77" spans="1:17">
      <c r="A77" t="s">
        <v>107</v>
      </c>
      <c r="B77">
        <f>COUNTIF($A$2:A77,A77)</f>
        <v>1</v>
      </c>
      <c r="C77" s="2">
        <v>45666</v>
      </c>
      <c r="D77" t="s">
        <v>17</v>
      </c>
      <c r="E77" t="s">
        <v>32</v>
      </c>
      <c r="F77" t="s">
        <v>24</v>
      </c>
      <c r="G77" t="s">
        <v>20</v>
      </c>
      <c r="H77" t="s">
        <v>26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75.900000000000006</v>
      </c>
    </row>
    <row r="78" spans="1:17">
      <c r="A78" t="s">
        <v>108</v>
      </c>
      <c r="B78">
        <f>COUNTIF($A$2:A78,A78)</f>
        <v>1</v>
      </c>
      <c r="C78" s="2">
        <v>45764</v>
      </c>
      <c r="D78" t="s">
        <v>17</v>
      </c>
      <c r="E78" t="s">
        <v>18</v>
      </c>
      <c r="F78" t="s">
        <v>24</v>
      </c>
      <c r="G78" t="s">
        <v>39</v>
      </c>
      <c r="H78" t="s">
        <v>26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Q78">
        <v>84.9</v>
      </c>
    </row>
    <row r="79" spans="1:17">
      <c r="A79" t="s">
        <v>109</v>
      </c>
      <c r="B79">
        <f>COUNTIF($A$2:A79,A79)</f>
        <v>1</v>
      </c>
      <c r="C79" s="2">
        <v>45673</v>
      </c>
      <c r="D79" t="s">
        <v>17</v>
      </c>
      <c r="E79" t="s">
        <v>18</v>
      </c>
      <c r="F79" t="s">
        <v>24</v>
      </c>
      <c r="G79" t="s">
        <v>25</v>
      </c>
      <c r="H79" t="s">
        <v>26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Q79">
        <v>48.4</v>
      </c>
    </row>
    <row r="80" spans="1:17">
      <c r="A80" t="s">
        <v>110</v>
      </c>
      <c r="B80">
        <f>COUNTIF($A$2:A80,A80)</f>
        <v>1</v>
      </c>
      <c r="C80" s="2">
        <v>45708</v>
      </c>
      <c r="D80" t="s">
        <v>17</v>
      </c>
      <c r="E80" t="s">
        <v>23</v>
      </c>
      <c r="F80" t="s">
        <v>19</v>
      </c>
      <c r="G80" t="s">
        <v>25</v>
      </c>
      <c r="H80" t="s">
        <v>26</v>
      </c>
      <c r="I80">
        <v>1</v>
      </c>
      <c r="J80">
        <v>1</v>
      </c>
      <c r="K80">
        <v>1</v>
      </c>
      <c r="L80">
        <v>1</v>
      </c>
      <c r="M80">
        <v>457.51</v>
      </c>
      <c r="N80">
        <v>0</v>
      </c>
      <c r="O80">
        <v>0</v>
      </c>
      <c r="P80">
        <v>7</v>
      </c>
      <c r="Q80">
        <v>38</v>
      </c>
    </row>
    <row r="81" spans="1:17">
      <c r="A81" t="s">
        <v>111</v>
      </c>
      <c r="B81">
        <f>COUNTIF($A$2:A81,A81)</f>
        <v>1</v>
      </c>
      <c r="C81" s="2">
        <v>45798</v>
      </c>
      <c r="D81" t="s">
        <v>17</v>
      </c>
      <c r="E81" t="s">
        <v>28</v>
      </c>
      <c r="F81" t="s">
        <v>24</v>
      </c>
      <c r="G81" t="s">
        <v>41</v>
      </c>
      <c r="H81" t="s">
        <v>26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>
        <v>44.2</v>
      </c>
    </row>
    <row r="82" spans="1:17">
      <c r="A82" t="s">
        <v>112</v>
      </c>
      <c r="B82">
        <f>COUNTIF($A$2:A82,A82)</f>
        <v>1</v>
      </c>
      <c r="C82" s="2">
        <v>45785</v>
      </c>
      <c r="D82" t="s">
        <v>17</v>
      </c>
      <c r="E82" t="s">
        <v>32</v>
      </c>
      <c r="F82" t="s">
        <v>24</v>
      </c>
      <c r="G82" t="s">
        <v>25</v>
      </c>
      <c r="H82" t="s">
        <v>26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Q82">
        <v>81.2</v>
      </c>
    </row>
    <row r="83" spans="1:17">
      <c r="A83" t="s">
        <v>113</v>
      </c>
      <c r="B83">
        <f>COUNTIF($A$2:A83,A83)</f>
        <v>1</v>
      </c>
      <c r="C83" s="2">
        <v>45724</v>
      </c>
      <c r="D83" t="s">
        <v>17</v>
      </c>
      <c r="E83" t="s">
        <v>32</v>
      </c>
      <c r="F83" t="s">
        <v>24</v>
      </c>
      <c r="G83" t="s">
        <v>39</v>
      </c>
      <c r="H83" t="s">
        <v>26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Q83">
        <v>63.8</v>
      </c>
    </row>
    <row r="84" spans="1:17">
      <c r="A84" t="s">
        <v>114</v>
      </c>
      <c r="B84">
        <f>COUNTIF($A$2:A84,A84)</f>
        <v>1</v>
      </c>
      <c r="C84" s="2">
        <v>45748</v>
      </c>
      <c r="D84" t="s">
        <v>17</v>
      </c>
      <c r="E84" t="s">
        <v>32</v>
      </c>
      <c r="F84" t="s">
        <v>19</v>
      </c>
      <c r="G84" t="s">
        <v>20</v>
      </c>
      <c r="H84" t="s">
        <v>26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64.7</v>
      </c>
    </row>
    <row r="85" spans="1:17">
      <c r="A85" t="s">
        <v>115</v>
      </c>
      <c r="B85">
        <f>COUNTIF($A$2:A85,A85)</f>
        <v>1</v>
      </c>
      <c r="C85" s="2">
        <v>45719</v>
      </c>
      <c r="D85" t="s">
        <v>17</v>
      </c>
      <c r="E85" t="s">
        <v>23</v>
      </c>
      <c r="F85" t="s">
        <v>24</v>
      </c>
      <c r="G85" t="s">
        <v>41</v>
      </c>
      <c r="H85" t="s">
        <v>21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60.4</v>
      </c>
    </row>
    <row r="86" spans="1:17">
      <c r="A86" t="s">
        <v>116</v>
      </c>
      <c r="B86">
        <f>COUNTIF($A$2:A86,A86)</f>
        <v>1</v>
      </c>
      <c r="C86" s="2">
        <v>45763</v>
      </c>
      <c r="D86" t="s">
        <v>17</v>
      </c>
      <c r="E86" t="s">
        <v>32</v>
      </c>
      <c r="F86" t="s">
        <v>24</v>
      </c>
      <c r="G86" t="s">
        <v>29</v>
      </c>
      <c r="H86" t="s">
        <v>26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66.599999999999994</v>
      </c>
    </row>
    <row r="87" spans="1:17">
      <c r="A87" t="s">
        <v>117</v>
      </c>
      <c r="B87">
        <f>COUNTIF($A$2:A87,A87)</f>
        <v>1</v>
      </c>
      <c r="C87" s="2">
        <v>45666</v>
      </c>
      <c r="D87" t="s">
        <v>17</v>
      </c>
      <c r="E87" t="s">
        <v>18</v>
      </c>
      <c r="F87" t="s">
        <v>19</v>
      </c>
      <c r="G87" t="s">
        <v>25</v>
      </c>
      <c r="H87" t="s">
        <v>26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50.9</v>
      </c>
    </row>
    <row r="88" spans="1:17">
      <c r="A88" t="s">
        <v>118</v>
      </c>
      <c r="B88">
        <f>COUNTIF($A$2:A88,A88)</f>
        <v>1</v>
      </c>
      <c r="C88" s="2">
        <v>45679</v>
      </c>
      <c r="D88" t="s">
        <v>17</v>
      </c>
      <c r="E88" t="s">
        <v>23</v>
      </c>
      <c r="F88" t="s">
        <v>19</v>
      </c>
      <c r="G88" t="s">
        <v>41</v>
      </c>
      <c r="H88" t="s">
        <v>21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>
        <v>51</v>
      </c>
    </row>
    <row r="89" spans="1:17">
      <c r="A89" t="s">
        <v>119</v>
      </c>
      <c r="B89">
        <f>COUNTIF($A$2:A89,A89)</f>
        <v>1</v>
      </c>
      <c r="C89" s="2">
        <v>45777</v>
      </c>
      <c r="D89" t="s">
        <v>17</v>
      </c>
      <c r="E89" t="s">
        <v>32</v>
      </c>
      <c r="F89" t="s">
        <v>24</v>
      </c>
      <c r="G89" t="s">
        <v>20</v>
      </c>
      <c r="H89" t="s">
        <v>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Q89">
        <v>65.8</v>
      </c>
    </row>
    <row r="90" spans="1:17">
      <c r="A90" t="s">
        <v>120</v>
      </c>
      <c r="B90">
        <f>COUNTIF($A$2:A90,A90)</f>
        <v>1</v>
      </c>
      <c r="C90" s="2">
        <v>45772</v>
      </c>
      <c r="D90" t="s">
        <v>17</v>
      </c>
      <c r="E90" t="s">
        <v>18</v>
      </c>
      <c r="F90" t="s">
        <v>24</v>
      </c>
      <c r="G90" t="s">
        <v>39</v>
      </c>
      <c r="H90" t="s">
        <v>21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>
        <v>61.8</v>
      </c>
    </row>
    <row r="91" spans="1:17">
      <c r="A91" t="s">
        <v>121</v>
      </c>
      <c r="B91">
        <f>COUNTIF($A$2:A91,A91)</f>
        <v>1</v>
      </c>
      <c r="C91" s="2">
        <v>45689</v>
      </c>
      <c r="D91" t="s">
        <v>17</v>
      </c>
      <c r="E91" t="s">
        <v>18</v>
      </c>
      <c r="F91" t="s">
        <v>24</v>
      </c>
      <c r="G91" t="s">
        <v>25</v>
      </c>
      <c r="H91" t="s">
        <v>21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54.5</v>
      </c>
    </row>
    <row r="92" spans="1:17">
      <c r="A92" t="s">
        <v>122</v>
      </c>
      <c r="B92">
        <f>COUNTIF($A$2:A92,A92)</f>
        <v>1</v>
      </c>
      <c r="C92" s="2">
        <v>45770</v>
      </c>
      <c r="D92" t="s">
        <v>17</v>
      </c>
      <c r="E92" t="s">
        <v>32</v>
      </c>
      <c r="F92" t="s">
        <v>19</v>
      </c>
      <c r="G92" t="s">
        <v>25</v>
      </c>
      <c r="H92" t="s">
        <v>26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>
        <v>72.2</v>
      </c>
    </row>
    <row r="93" spans="1:17">
      <c r="A93" t="s">
        <v>123</v>
      </c>
      <c r="B93">
        <f>COUNTIF($A$2:A93,A93)</f>
        <v>1</v>
      </c>
      <c r="C93" s="2">
        <v>45715</v>
      </c>
      <c r="D93" t="s">
        <v>17</v>
      </c>
      <c r="E93" t="s">
        <v>32</v>
      </c>
      <c r="F93" t="s">
        <v>24</v>
      </c>
      <c r="G93" t="s">
        <v>41</v>
      </c>
      <c r="H93" t="s">
        <v>26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42.3</v>
      </c>
    </row>
    <row r="94" spans="1:17">
      <c r="A94" t="s">
        <v>124</v>
      </c>
      <c r="B94">
        <f>COUNTIF($A$2:A94,A94)</f>
        <v>1</v>
      </c>
      <c r="C94" s="2">
        <v>45756</v>
      </c>
      <c r="D94" t="s">
        <v>17</v>
      </c>
      <c r="E94" t="s">
        <v>28</v>
      </c>
      <c r="F94" t="s">
        <v>19</v>
      </c>
      <c r="G94" t="s">
        <v>25</v>
      </c>
      <c r="H94" t="s">
        <v>21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76.2</v>
      </c>
    </row>
    <row r="95" spans="1:17">
      <c r="A95" t="s">
        <v>125</v>
      </c>
      <c r="B95">
        <f>COUNTIF($A$2:A95,A95)</f>
        <v>1</v>
      </c>
      <c r="C95" s="2">
        <v>45790</v>
      </c>
      <c r="D95" t="s">
        <v>17</v>
      </c>
      <c r="E95" t="s">
        <v>32</v>
      </c>
      <c r="F95" t="s">
        <v>34</v>
      </c>
      <c r="G95" t="s">
        <v>25</v>
      </c>
      <c r="H95" t="s">
        <v>30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0</v>
      </c>
      <c r="Q95">
        <v>37.4</v>
      </c>
    </row>
    <row r="96" spans="1:17">
      <c r="A96" t="s">
        <v>126</v>
      </c>
      <c r="B96">
        <f>COUNTIF($A$2:A96,A96)</f>
        <v>1</v>
      </c>
      <c r="C96" s="2">
        <v>45760</v>
      </c>
      <c r="D96" t="s">
        <v>17</v>
      </c>
      <c r="E96" t="s">
        <v>28</v>
      </c>
      <c r="F96" t="s">
        <v>24</v>
      </c>
      <c r="G96" t="s">
        <v>25</v>
      </c>
      <c r="H96" t="s">
        <v>26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84.2</v>
      </c>
    </row>
    <row r="97" spans="1:17">
      <c r="A97" t="s">
        <v>127</v>
      </c>
      <c r="B97">
        <f>COUNTIF($A$2:A97,A97)</f>
        <v>1</v>
      </c>
      <c r="C97" s="2">
        <v>45693</v>
      </c>
      <c r="D97" t="s">
        <v>17</v>
      </c>
      <c r="E97" t="s">
        <v>28</v>
      </c>
      <c r="F97" t="s">
        <v>24</v>
      </c>
      <c r="G97" t="s">
        <v>41</v>
      </c>
      <c r="H97" t="s">
        <v>26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68</v>
      </c>
    </row>
    <row r="98" spans="1:17">
      <c r="A98" t="s">
        <v>128</v>
      </c>
      <c r="B98">
        <f>COUNTIF($A$2:A98,A98)</f>
        <v>1</v>
      </c>
      <c r="C98" s="2">
        <v>45702</v>
      </c>
      <c r="D98" t="s">
        <v>17</v>
      </c>
      <c r="E98" t="s">
        <v>23</v>
      </c>
      <c r="F98" t="s">
        <v>24</v>
      </c>
      <c r="G98" t="s">
        <v>25</v>
      </c>
      <c r="H98" t="s">
        <v>21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53.5</v>
      </c>
    </row>
    <row r="99" spans="1:17">
      <c r="A99" t="s">
        <v>129</v>
      </c>
      <c r="B99">
        <f>COUNTIF($A$2:A99,A99)</f>
        <v>1</v>
      </c>
      <c r="C99" s="2">
        <v>45699</v>
      </c>
      <c r="D99" t="s">
        <v>17</v>
      </c>
      <c r="E99" t="s">
        <v>18</v>
      </c>
      <c r="F99" t="s">
        <v>19</v>
      </c>
      <c r="G99" t="s">
        <v>25</v>
      </c>
      <c r="H99" t="s">
        <v>30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63.2</v>
      </c>
    </row>
    <row r="100" spans="1:17">
      <c r="A100" t="s">
        <v>130</v>
      </c>
      <c r="B100">
        <f>COUNTIF($A$2:A100,A100)</f>
        <v>1</v>
      </c>
      <c r="C100" s="2">
        <v>45699</v>
      </c>
      <c r="D100" t="s">
        <v>17</v>
      </c>
      <c r="E100" t="s">
        <v>28</v>
      </c>
      <c r="F100" t="s">
        <v>19</v>
      </c>
      <c r="G100" t="s">
        <v>41</v>
      </c>
      <c r="H100" t="s">
        <v>26</v>
      </c>
      <c r="I100">
        <v>1</v>
      </c>
      <c r="J100">
        <v>1</v>
      </c>
      <c r="K100">
        <v>1</v>
      </c>
      <c r="L100">
        <v>1</v>
      </c>
      <c r="M100">
        <v>363.32</v>
      </c>
      <c r="N100">
        <v>0</v>
      </c>
      <c r="O100">
        <v>0</v>
      </c>
      <c r="P100">
        <v>9</v>
      </c>
      <c r="Q100">
        <v>55.9</v>
      </c>
    </row>
    <row r="101" spans="1:17">
      <c r="A101" t="s">
        <v>131</v>
      </c>
      <c r="B101">
        <f>COUNTIF($A$2:A101,A101)</f>
        <v>1</v>
      </c>
      <c r="C101" s="2">
        <v>45803</v>
      </c>
      <c r="D101" t="s">
        <v>17</v>
      </c>
      <c r="E101" t="s">
        <v>18</v>
      </c>
      <c r="F101" t="s">
        <v>24</v>
      </c>
      <c r="G101" t="s">
        <v>25</v>
      </c>
      <c r="H101" t="s">
        <v>26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63.5</v>
      </c>
    </row>
    <row r="102" spans="1:17">
      <c r="A102" t="s">
        <v>132</v>
      </c>
      <c r="B102">
        <f>COUNTIF($A$2:A102,A102)</f>
        <v>1</v>
      </c>
      <c r="C102" s="2">
        <v>45738</v>
      </c>
      <c r="D102" t="s">
        <v>17</v>
      </c>
      <c r="E102" t="s">
        <v>18</v>
      </c>
      <c r="F102" t="s">
        <v>24</v>
      </c>
      <c r="G102" t="s">
        <v>29</v>
      </c>
      <c r="H102" t="s">
        <v>21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51.5</v>
      </c>
    </row>
    <row r="103" spans="1:17">
      <c r="A103" t="s">
        <v>133</v>
      </c>
      <c r="B103">
        <f>COUNTIF($A$2:A103,A103)</f>
        <v>1</v>
      </c>
      <c r="C103" s="2">
        <v>45755</v>
      </c>
      <c r="D103" t="s">
        <v>17</v>
      </c>
      <c r="E103" t="s">
        <v>23</v>
      </c>
      <c r="F103" t="s">
        <v>24</v>
      </c>
      <c r="G103" t="s">
        <v>29</v>
      </c>
      <c r="H103" t="s">
        <v>26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74.400000000000006</v>
      </c>
    </row>
    <row r="104" spans="1:17">
      <c r="A104" t="s">
        <v>134</v>
      </c>
      <c r="B104">
        <f>COUNTIF($A$2:A104,A104)</f>
        <v>1</v>
      </c>
      <c r="C104" s="2">
        <v>45761</v>
      </c>
      <c r="D104" t="s">
        <v>17</v>
      </c>
      <c r="E104" t="s">
        <v>18</v>
      </c>
      <c r="F104" t="s">
        <v>19</v>
      </c>
      <c r="G104" t="s">
        <v>41</v>
      </c>
      <c r="H104" t="s">
        <v>26</v>
      </c>
      <c r="I104">
        <v>1</v>
      </c>
      <c r="J104">
        <v>1</v>
      </c>
      <c r="K104">
        <v>1</v>
      </c>
      <c r="L104">
        <v>1</v>
      </c>
      <c r="M104">
        <v>3887.98</v>
      </c>
      <c r="N104">
        <v>0</v>
      </c>
      <c r="O104">
        <v>0</v>
      </c>
      <c r="P104">
        <v>13</v>
      </c>
      <c r="Q104">
        <v>60.2</v>
      </c>
    </row>
    <row r="105" spans="1:17">
      <c r="A105" t="s">
        <v>135</v>
      </c>
      <c r="B105">
        <f>COUNTIF($A$2:A105,A105)</f>
        <v>1</v>
      </c>
      <c r="C105" s="2">
        <v>45743</v>
      </c>
      <c r="D105" t="s">
        <v>17</v>
      </c>
      <c r="E105" t="s">
        <v>32</v>
      </c>
      <c r="F105" t="s">
        <v>24</v>
      </c>
      <c r="G105" t="s">
        <v>20</v>
      </c>
      <c r="H105" t="s">
        <v>26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Q105">
        <v>67.2</v>
      </c>
    </row>
    <row r="106" spans="1:17">
      <c r="A106" t="s">
        <v>136</v>
      </c>
      <c r="B106">
        <f>COUNTIF($A$2:A106,A106)</f>
        <v>1</v>
      </c>
      <c r="C106" s="2">
        <v>45662</v>
      </c>
      <c r="D106" t="s">
        <v>17</v>
      </c>
      <c r="E106" t="s">
        <v>32</v>
      </c>
      <c r="F106" t="s">
        <v>24</v>
      </c>
      <c r="G106" t="s">
        <v>41</v>
      </c>
      <c r="H106" t="s">
        <v>26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Q106">
        <v>79.599999999999994</v>
      </c>
    </row>
    <row r="107" spans="1:17">
      <c r="A107" t="s">
        <v>137</v>
      </c>
      <c r="B107">
        <f>COUNTIF($A$2:A107,A107)</f>
        <v>1</v>
      </c>
      <c r="C107" s="2">
        <v>45682</v>
      </c>
      <c r="D107" t="s">
        <v>17</v>
      </c>
      <c r="E107" t="s">
        <v>32</v>
      </c>
      <c r="F107" t="s">
        <v>24</v>
      </c>
      <c r="G107" t="s">
        <v>41</v>
      </c>
      <c r="H107" t="s">
        <v>21</v>
      </c>
      <c r="I107">
        <v>1</v>
      </c>
      <c r="J107">
        <v>1</v>
      </c>
      <c r="K107">
        <v>1</v>
      </c>
      <c r="L107">
        <v>1</v>
      </c>
      <c r="M107">
        <v>8610.7199999999993</v>
      </c>
      <c r="N107">
        <v>0</v>
      </c>
      <c r="O107">
        <v>0</v>
      </c>
      <c r="P107">
        <v>6</v>
      </c>
      <c r="Q107">
        <v>61</v>
      </c>
    </row>
    <row r="108" spans="1:17">
      <c r="A108" t="s">
        <v>138</v>
      </c>
      <c r="B108">
        <f>COUNTIF($A$2:A108,A108)</f>
        <v>1</v>
      </c>
      <c r="C108" s="2">
        <v>45680</v>
      </c>
      <c r="D108" t="s">
        <v>17</v>
      </c>
      <c r="E108" t="s">
        <v>23</v>
      </c>
      <c r="F108" t="s">
        <v>24</v>
      </c>
      <c r="G108" t="s">
        <v>20</v>
      </c>
      <c r="H108" t="s">
        <v>26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4</v>
      </c>
      <c r="O108">
        <v>0</v>
      </c>
      <c r="Q108">
        <v>51.1</v>
      </c>
    </row>
    <row r="109" spans="1:17">
      <c r="A109" t="s">
        <v>139</v>
      </c>
      <c r="B109">
        <f>COUNTIF($A$2:A109,A109)</f>
        <v>1</v>
      </c>
      <c r="C109" s="2">
        <v>45802</v>
      </c>
      <c r="D109" t="s">
        <v>17</v>
      </c>
      <c r="E109" t="s">
        <v>28</v>
      </c>
      <c r="F109" t="s">
        <v>19</v>
      </c>
      <c r="G109" t="s">
        <v>39</v>
      </c>
      <c r="H109" t="s">
        <v>26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92.1</v>
      </c>
    </row>
    <row r="110" spans="1:17">
      <c r="A110" t="s">
        <v>140</v>
      </c>
      <c r="B110">
        <f>COUNTIF($A$2:A110,A110)</f>
        <v>1</v>
      </c>
      <c r="C110" s="2">
        <v>45738</v>
      </c>
      <c r="D110" t="s">
        <v>17</v>
      </c>
      <c r="E110" t="s">
        <v>32</v>
      </c>
      <c r="F110" t="s">
        <v>24</v>
      </c>
      <c r="G110" t="s">
        <v>39</v>
      </c>
      <c r="H110" t="s">
        <v>21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82.1</v>
      </c>
    </row>
    <row r="111" spans="1:17">
      <c r="A111" t="s">
        <v>141</v>
      </c>
      <c r="B111">
        <f>COUNTIF($A$2:A111,A111)</f>
        <v>1</v>
      </c>
      <c r="C111" s="2">
        <v>45700</v>
      </c>
      <c r="D111" t="s">
        <v>17</v>
      </c>
      <c r="E111" t="s">
        <v>23</v>
      </c>
      <c r="F111" t="s">
        <v>19</v>
      </c>
      <c r="G111" t="s">
        <v>29</v>
      </c>
      <c r="H111" t="s">
        <v>21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Q111">
        <v>74</v>
      </c>
    </row>
    <row r="112" spans="1:17">
      <c r="A112" t="s">
        <v>142</v>
      </c>
      <c r="B112">
        <f>COUNTIF($A$2:A112,A112)</f>
        <v>1</v>
      </c>
      <c r="C112" s="2">
        <v>45775</v>
      </c>
      <c r="D112" t="s">
        <v>17</v>
      </c>
      <c r="E112" t="s">
        <v>23</v>
      </c>
      <c r="F112" t="s">
        <v>19</v>
      </c>
      <c r="G112" t="s">
        <v>25</v>
      </c>
      <c r="H112" t="s">
        <v>21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Q112">
        <v>63.4</v>
      </c>
    </row>
    <row r="113" spans="1:17">
      <c r="A113" t="s">
        <v>143</v>
      </c>
      <c r="B113">
        <f>COUNTIF($A$2:A113,A113)</f>
        <v>1</v>
      </c>
      <c r="C113" s="2">
        <v>45687</v>
      </c>
      <c r="D113" t="s">
        <v>17</v>
      </c>
      <c r="E113" t="s">
        <v>18</v>
      </c>
      <c r="F113" t="s">
        <v>24</v>
      </c>
      <c r="G113" t="s">
        <v>25</v>
      </c>
      <c r="H113" t="s">
        <v>21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53.2</v>
      </c>
    </row>
    <row r="114" spans="1:17">
      <c r="A114" t="s">
        <v>144</v>
      </c>
      <c r="B114">
        <f>COUNTIF($A$2:A114,A114)</f>
        <v>1</v>
      </c>
      <c r="C114" s="2">
        <v>45796</v>
      </c>
      <c r="D114" t="s">
        <v>17</v>
      </c>
      <c r="E114" t="s">
        <v>28</v>
      </c>
      <c r="F114" t="s">
        <v>34</v>
      </c>
      <c r="G114" t="s">
        <v>29</v>
      </c>
      <c r="H114" t="s">
        <v>26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48.1</v>
      </c>
    </row>
    <row r="115" spans="1:17">
      <c r="A115" t="s">
        <v>145</v>
      </c>
      <c r="B115">
        <f>COUNTIF($A$2:A115,A115)</f>
        <v>1</v>
      </c>
      <c r="C115" s="2">
        <v>45680</v>
      </c>
      <c r="D115" t="s">
        <v>17</v>
      </c>
      <c r="E115" t="s">
        <v>32</v>
      </c>
      <c r="F115" t="s">
        <v>24</v>
      </c>
      <c r="G115" t="s">
        <v>41</v>
      </c>
      <c r="H115" t="s">
        <v>26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61.5</v>
      </c>
    </row>
    <row r="116" spans="1:17">
      <c r="A116" t="s">
        <v>146</v>
      </c>
      <c r="B116">
        <f>COUNTIF($A$2:A116,A116)</f>
        <v>1</v>
      </c>
      <c r="C116" s="2">
        <v>45744</v>
      </c>
      <c r="D116" t="s">
        <v>17</v>
      </c>
      <c r="E116" t="s">
        <v>28</v>
      </c>
      <c r="F116" t="s">
        <v>19</v>
      </c>
      <c r="G116" t="s">
        <v>41</v>
      </c>
      <c r="H116" t="s">
        <v>26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63.2</v>
      </c>
    </row>
    <row r="117" spans="1:17">
      <c r="A117" t="s">
        <v>147</v>
      </c>
      <c r="B117">
        <f>COUNTIF($A$2:A117,A117)</f>
        <v>1</v>
      </c>
      <c r="C117" s="2">
        <v>45668</v>
      </c>
      <c r="D117" t="s">
        <v>17</v>
      </c>
      <c r="E117" t="s">
        <v>23</v>
      </c>
      <c r="F117" t="s">
        <v>24</v>
      </c>
      <c r="G117" t="s">
        <v>25</v>
      </c>
      <c r="H117" t="s">
        <v>26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71.900000000000006</v>
      </c>
    </row>
    <row r="118" spans="1:17">
      <c r="A118" t="s">
        <v>148</v>
      </c>
      <c r="B118">
        <f>COUNTIF($A$2:A118,A118)</f>
        <v>1</v>
      </c>
      <c r="C118" s="2">
        <v>45758</v>
      </c>
      <c r="D118" t="s">
        <v>17</v>
      </c>
      <c r="E118" t="s">
        <v>18</v>
      </c>
      <c r="F118" t="s">
        <v>24</v>
      </c>
      <c r="G118" t="s">
        <v>39</v>
      </c>
      <c r="H118" t="s">
        <v>26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62.7</v>
      </c>
    </row>
    <row r="119" spans="1:17">
      <c r="A119" t="s">
        <v>149</v>
      </c>
      <c r="B119">
        <f>COUNTIF($A$2:A119,A119)</f>
        <v>1</v>
      </c>
      <c r="C119" s="2">
        <v>45659</v>
      </c>
      <c r="D119" t="s">
        <v>17</v>
      </c>
      <c r="E119" t="s">
        <v>23</v>
      </c>
      <c r="F119" t="s">
        <v>24</v>
      </c>
      <c r="G119" t="s">
        <v>29</v>
      </c>
      <c r="H119" t="s">
        <v>26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51.5</v>
      </c>
    </row>
    <row r="120" spans="1:17">
      <c r="A120" t="s">
        <v>150</v>
      </c>
      <c r="B120">
        <f>COUNTIF($A$2:A120,A120)</f>
        <v>1</v>
      </c>
      <c r="C120" s="2">
        <v>45734</v>
      </c>
      <c r="D120" t="s">
        <v>17</v>
      </c>
      <c r="E120" t="s">
        <v>28</v>
      </c>
      <c r="F120" t="s">
        <v>24</v>
      </c>
      <c r="G120" t="s">
        <v>41</v>
      </c>
      <c r="H120" t="s">
        <v>26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Q120">
        <v>39.1</v>
      </c>
    </row>
    <row r="121" spans="1:17">
      <c r="A121" t="s">
        <v>151</v>
      </c>
      <c r="B121">
        <f>COUNTIF($A$2:A121,A121)</f>
        <v>1</v>
      </c>
      <c r="C121" s="2">
        <v>45747</v>
      </c>
      <c r="D121" t="s">
        <v>17</v>
      </c>
      <c r="E121" t="s">
        <v>18</v>
      </c>
      <c r="F121" t="s">
        <v>24</v>
      </c>
      <c r="G121" t="s">
        <v>20</v>
      </c>
      <c r="H121" t="s">
        <v>26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Q121">
        <v>43.8</v>
      </c>
    </row>
    <row r="122" spans="1:17">
      <c r="A122" t="s">
        <v>152</v>
      </c>
      <c r="B122">
        <f>COUNTIF($A$2:A122,A122)</f>
        <v>1</v>
      </c>
      <c r="C122" s="2">
        <v>45663</v>
      </c>
      <c r="D122" t="s">
        <v>17</v>
      </c>
      <c r="E122" t="s">
        <v>18</v>
      </c>
      <c r="F122" t="s">
        <v>24</v>
      </c>
      <c r="G122" t="s">
        <v>29</v>
      </c>
      <c r="H122" t="s">
        <v>21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Q122">
        <v>59.9</v>
      </c>
    </row>
    <row r="123" spans="1:17">
      <c r="A123" t="s">
        <v>153</v>
      </c>
      <c r="B123">
        <f>COUNTIF($A$2:A123,A123)</f>
        <v>1</v>
      </c>
      <c r="C123" s="2">
        <v>45683</v>
      </c>
      <c r="D123" t="s">
        <v>17</v>
      </c>
      <c r="E123" t="s">
        <v>18</v>
      </c>
      <c r="F123" t="s">
        <v>24</v>
      </c>
      <c r="G123" t="s">
        <v>39</v>
      </c>
      <c r="H123" t="s">
        <v>26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71.400000000000006</v>
      </c>
    </row>
    <row r="124" spans="1:17">
      <c r="A124" t="s">
        <v>154</v>
      </c>
      <c r="B124">
        <f>COUNTIF($A$2:A124,A124)</f>
        <v>1</v>
      </c>
      <c r="C124" s="2">
        <v>45769</v>
      </c>
      <c r="D124" t="s">
        <v>17</v>
      </c>
      <c r="E124" t="s">
        <v>32</v>
      </c>
      <c r="F124" t="s">
        <v>24</v>
      </c>
      <c r="G124" t="s">
        <v>39</v>
      </c>
      <c r="H124" t="s">
        <v>21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Q124">
        <v>36.1</v>
      </c>
    </row>
    <row r="125" spans="1:17">
      <c r="A125" t="s">
        <v>155</v>
      </c>
      <c r="B125">
        <f>COUNTIF($A$2:A125,A125)</f>
        <v>1</v>
      </c>
      <c r="C125" s="2">
        <v>45807</v>
      </c>
      <c r="D125" t="s">
        <v>17</v>
      </c>
      <c r="E125" t="s">
        <v>23</v>
      </c>
      <c r="G125" t="s">
        <v>20</v>
      </c>
      <c r="H125" t="s">
        <v>21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Q125">
        <v>47.9</v>
      </c>
    </row>
    <row r="126" spans="1:17">
      <c r="A126" t="s">
        <v>156</v>
      </c>
      <c r="B126">
        <f>COUNTIF($A$2:A126,A126)</f>
        <v>1</v>
      </c>
      <c r="C126" s="2">
        <v>45795</v>
      </c>
      <c r="D126" t="s">
        <v>17</v>
      </c>
      <c r="E126" t="s">
        <v>23</v>
      </c>
      <c r="F126" t="s">
        <v>19</v>
      </c>
      <c r="G126" t="s">
        <v>25</v>
      </c>
      <c r="H126" t="s">
        <v>30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Q126">
        <v>62.5</v>
      </c>
    </row>
    <row r="127" spans="1:17">
      <c r="A127" t="s">
        <v>157</v>
      </c>
      <c r="B127">
        <f>COUNTIF($A$2:A127,A127)</f>
        <v>1</v>
      </c>
      <c r="C127" s="2">
        <v>45670</v>
      </c>
      <c r="D127" t="s">
        <v>17</v>
      </c>
      <c r="E127" t="s">
        <v>32</v>
      </c>
      <c r="F127" t="s">
        <v>19</v>
      </c>
      <c r="G127" t="s">
        <v>29</v>
      </c>
      <c r="H127" t="s">
        <v>30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56.9</v>
      </c>
    </row>
    <row r="128" spans="1:17">
      <c r="A128" t="s">
        <v>158</v>
      </c>
      <c r="B128">
        <f>COUNTIF($A$2:A128,A128)</f>
        <v>1</v>
      </c>
      <c r="C128" s="2">
        <v>45741</v>
      </c>
      <c r="D128" t="s">
        <v>17</v>
      </c>
      <c r="E128" t="s">
        <v>18</v>
      </c>
      <c r="F128" t="s">
        <v>19</v>
      </c>
      <c r="G128" t="s">
        <v>20</v>
      </c>
      <c r="H128" t="s">
        <v>26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64.7</v>
      </c>
    </row>
    <row r="129" spans="1:17">
      <c r="A129" t="s">
        <v>159</v>
      </c>
      <c r="B129">
        <f>COUNTIF($A$2:A129,A129)</f>
        <v>1</v>
      </c>
      <c r="C129" s="2">
        <v>45776</v>
      </c>
      <c r="D129" t="s">
        <v>17</v>
      </c>
      <c r="E129" t="s">
        <v>32</v>
      </c>
      <c r="F129" t="s">
        <v>19</v>
      </c>
      <c r="G129" t="s">
        <v>25</v>
      </c>
      <c r="H129" t="s">
        <v>26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Q129">
        <v>64</v>
      </c>
    </row>
    <row r="130" spans="1:17">
      <c r="A130" t="s">
        <v>160</v>
      </c>
      <c r="B130">
        <f>COUNTIF($A$2:A130,A130)</f>
        <v>1</v>
      </c>
      <c r="C130" s="2">
        <v>45794</v>
      </c>
      <c r="D130" t="s">
        <v>17</v>
      </c>
      <c r="E130" t="s">
        <v>28</v>
      </c>
      <c r="F130" t="s">
        <v>24</v>
      </c>
      <c r="G130" t="s">
        <v>39</v>
      </c>
      <c r="H130" t="s">
        <v>21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Q130">
        <v>75.2</v>
      </c>
    </row>
    <row r="131" spans="1:17">
      <c r="A131" t="s">
        <v>161</v>
      </c>
      <c r="B131">
        <f>COUNTIF($A$2:A131,A131)</f>
        <v>1</v>
      </c>
      <c r="C131" s="2">
        <v>45659</v>
      </c>
      <c r="D131" t="s">
        <v>17</v>
      </c>
      <c r="E131" t="s">
        <v>18</v>
      </c>
      <c r="F131" t="s">
        <v>24</v>
      </c>
      <c r="G131" t="s">
        <v>29</v>
      </c>
      <c r="H131" t="s">
        <v>26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Q131">
        <v>79</v>
      </c>
    </row>
    <row r="132" spans="1:17">
      <c r="A132" t="s">
        <v>162</v>
      </c>
      <c r="B132">
        <f>COUNTIF($A$2:A132,A132)</f>
        <v>1</v>
      </c>
      <c r="C132" s="2">
        <v>45691</v>
      </c>
      <c r="D132" t="s">
        <v>17</v>
      </c>
      <c r="E132" t="s">
        <v>32</v>
      </c>
      <c r="F132" t="s">
        <v>24</v>
      </c>
      <c r="G132" t="s">
        <v>25</v>
      </c>
      <c r="H132" t="s">
        <v>26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33</v>
      </c>
    </row>
    <row r="133" spans="1:17">
      <c r="A133" t="s">
        <v>163</v>
      </c>
      <c r="B133">
        <f>COUNTIF($A$2:A133,A133)</f>
        <v>1</v>
      </c>
      <c r="C133" s="2">
        <v>45720</v>
      </c>
      <c r="D133" t="s">
        <v>17</v>
      </c>
      <c r="E133" t="s">
        <v>28</v>
      </c>
      <c r="F133" t="s">
        <v>24</v>
      </c>
      <c r="G133" t="s">
        <v>25</v>
      </c>
      <c r="H133" t="s">
        <v>26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Q133">
        <v>67.900000000000006</v>
      </c>
    </row>
    <row r="134" spans="1:17">
      <c r="A134" t="s">
        <v>164</v>
      </c>
      <c r="B134">
        <f>COUNTIF($A$2:A134,A134)</f>
        <v>1</v>
      </c>
      <c r="C134" s="2">
        <v>45683</v>
      </c>
      <c r="D134" t="s">
        <v>17</v>
      </c>
      <c r="E134" t="s">
        <v>32</v>
      </c>
      <c r="F134" t="s">
        <v>24</v>
      </c>
      <c r="G134" t="s">
        <v>29</v>
      </c>
      <c r="H134" t="s">
        <v>21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42.2</v>
      </c>
    </row>
    <row r="135" spans="1:17">
      <c r="A135" t="s">
        <v>165</v>
      </c>
      <c r="B135">
        <f>COUNTIF($A$2:A135,A135)</f>
        <v>1</v>
      </c>
      <c r="C135" s="2">
        <v>45789</v>
      </c>
      <c r="D135" t="s">
        <v>17</v>
      </c>
      <c r="E135" t="s">
        <v>23</v>
      </c>
      <c r="F135" t="s">
        <v>24</v>
      </c>
      <c r="G135" t="s">
        <v>29</v>
      </c>
      <c r="H135" t="s">
        <v>21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Q135">
        <v>43.4</v>
      </c>
    </row>
    <row r="136" spans="1:17">
      <c r="A136" t="s">
        <v>166</v>
      </c>
      <c r="B136">
        <f>COUNTIF($A$2:A136,A136)</f>
        <v>1</v>
      </c>
      <c r="C136" s="2">
        <v>45722</v>
      </c>
      <c r="D136" t="s">
        <v>17</v>
      </c>
      <c r="E136" t="s">
        <v>18</v>
      </c>
      <c r="F136" t="s">
        <v>24</v>
      </c>
      <c r="G136" t="s">
        <v>25</v>
      </c>
      <c r="H136" t="s">
        <v>21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54.4</v>
      </c>
    </row>
    <row r="137" spans="1:17">
      <c r="A137" t="s">
        <v>167</v>
      </c>
      <c r="B137">
        <f>COUNTIF($A$2:A137,A137)</f>
        <v>1</v>
      </c>
      <c r="C137" s="2">
        <v>45726</v>
      </c>
      <c r="D137" t="s">
        <v>17</v>
      </c>
      <c r="E137" t="s">
        <v>32</v>
      </c>
      <c r="F137" t="s">
        <v>19</v>
      </c>
      <c r="G137" t="s">
        <v>20</v>
      </c>
      <c r="H137" t="s">
        <v>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45.7</v>
      </c>
    </row>
    <row r="138" spans="1:17">
      <c r="A138" t="s">
        <v>168</v>
      </c>
      <c r="B138">
        <f>COUNTIF($A$2:A138,A138)</f>
        <v>1</v>
      </c>
      <c r="C138" s="2">
        <v>45783</v>
      </c>
      <c r="D138" t="s">
        <v>17</v>
      </c>
      <c r="E138" t="s">
        <v>18</v>
      </c>
      <c r="F138" t="s">
        <v>24</v>
      </c>
      <c r="G138" t="s">
        <v>29</v>
      </c>
      <c r="H138" t="s">
        <v>26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0</v>
      </c>
      <c r="Q138">
        <v>32</v>
      </c>
    </row>
    <row r="139" spans="1:17">
      <c r="A139" t="s">
        <v>169</v>
      </c>
      <c r="B139">
        <f>COUNTIF($A$2:A139,A139)</f>
        <v>1</v>
      </c>
      <c r="C139" s="2">
        <v>45711</v>
      </c>
      <c r="D139" t="s">
        <v>17</v>
      </c>
      <c r="E139" t="s">
        <v>32</v>
      </c>
      <c r="F139" t="s">
        <v>19</v>
      </c>
      <c r="G139" t="s">
        <v>29</v>
      </c>
      <c r="H139" t="s">
        <v>26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70.900000000000006</v>
      </c>
    </row>
    <row r="140" spans="1:17">
      <c r="A140" t="s">
        <v>170</v>
      </c>
      <c r="B140">
        <f>COUNTIF($A$2:A140,A140)</f>
        <v>1</v>
      </c>
      <c r="C140" s="2">
        <v>45686</v>
      </c>
      <c r="D140" t="s">
        <v>17</v>
      </c>
      <c r="E140" t="s">
        <v>23</v>
      </c>
      <c r="F140" t="s">
        <v>24</v>
      </c>
      <c r="G140" t="s">
        <v>41</v>
      </c>
      <c r="H140" t="s">
        <v>21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Q140">
        <v>59.1</v>
      </c>
    </row>
    <row r="141" spans="1:17">
      <c r="A141" t="s">
        <v>171</v>
      </c>
      <c r="B141">
        <f>COUNTIF($A$2:A141,A141)</f>
        <v>1</v>
      </c>
      <c r="C141" s="2">
        <v>45688</v>
      </c>
      <c r="D141" t="s">
        <v>17</v>
      </c>
      <c r="E141" t="s">
        <v>18</v>
      </c>
      <c r="F141" t="s">
        <v>24</v>
      </c>
      <c r="G141" t="s">
        <v>25</v>
      </c>
      <c r="H141" t="s">
        <v>21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62.4</v>
      </c>
    </row>
    <row r="142" spans="1:17">
      <c r="A142" t="s">
        <v>172</v>
      </c>
      <c r="B142">
        <f>COUNTIF($A$2:A142,A142)</f>
        <v>1</v>
      </c>
      <c r="C142" s="2">
        <v>45676</v>
      </c>
      <c r="D142" t="s">
        <v>17</v>
      </c>
      <c r="E142" t="s">
        <v>32</v>
      </c>
      <c r="F142" t="s">
        <v>24</v>
      </c>
      <c r="G142" t="s">
        <v>25</v>
      </c>
      <c r="H142" t="s">
        <v>26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49.6</v>
      </c>
    </row>
    <row r="143" spans="1:17">
      <c r="A143" t="s">
        <v>173</v>
      </c>
      <c r="B143">
        <f>COUNTIF($A$2:A143,A143)</f>
        <v>1</v>
      </c>
      <c r="C143" s="2">
        <v>45750</v>
      </c>
      <c r="D143" t="s">
        <v>17</v>
      </c>
      <c r="E143" t="s">
        <v>23</v>
      </c>
      <c r="F143" t="s">
        <v>19</v>
      </c>
      <c r="G143" t="s">
        <v>41</v>
      </c>
      <c r="H143" t="s">
        <v>26</v>
      </c>
      <c r="I143">
        <v>1</v>
      </c>
      <c r="J143">
        <v>1</v>
      </c>
      <c r="K143">
        <v>1</v>
      </c>
      <c r="L143">
        <v>1</v>
      </c>
      <c r="M143">
        <v>404.4</v>
      </c>
      <c r="N143">
        <v>0</v>
      </c>
      <c r="O143">
        <v>0</v>
      </c>
      <c r="P143">
        <v>9</v>
      </c>
      <c r="Q143">
        <v>80.599999999999994</v>
      </c>
    </row>
    <row r="144" spans="1:17">
      <c r="A144" t="s">
        <v>174</v>
      </c>
      <c r="B144">
        <f>COUNTIF($A$2:A144,A144)</f>
        <v>1</v>
      </c>
      <c r="C144" s="2">
        <v>45754</v>
      </c>
      <c r="D144" t="s">
        <v>17</v>
      </c>
      <c r="E144" t="s">
        <v>18</v>
      </c>
      <c r="F144" t="s">
        <v>24</v>
      </c>
      <c r="G144" t="s">
        <v>29</v>
      </c>
      <c r="H144" t="s">
        <v>26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47.9</v>
      </c>
    </row>
    <row r="145" spans="1:17">
      <c r="A145" t="s">
        <v>175</v>
      </c>
      <c r="B145">
        <f>COUNTIF($A$2:A145,A145)</f>
        <v>1</v>
      </c>
      <c r="C145" s="2">
        <v>45663</v>
      </c>
      <c r="D145" t="s">
        <v>17</v>
      </c>
      <c r="E145" t="s">
        <v>28</v>
      </c>
      <c r="F145" t="s">
        <v>24</v>
      </c>
      <c r="G145" t="s">
        <v>29</v>
      </c>
      <c r="H145" t="s">
        <v>21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54.8</v>
      </c>
    </row>
    <row r="146" spans="1:17">
      <c r="A146" t="s">
        <v>176</v>
      </c>
      <c r="B146">
        <f>COUNTIF($A$2:A146,A146)</f>
        <v>1</v>
      </c>
      <c r="C146" s="2">
        <v>45758</v>
      </c>
      <c r="D146" t="s">
        <v>17</v>
      </c>
      <c r="E146" t="s">
        <v>28</v>
      </c>
      <c r="F146" t="s">
        <v>24</v>
      </c>
      <c r="G146" t="s">
        <v>25</v>
      </c>
      <c r="H146" t="s">
        <v>26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Q146">
        <v>53.9</v>
      </c>
    </row>
    <row r="147" spans="1:17">
      <c r="A147" t="s">
        <v>177</v>
      </c>
      <c r="B147">
        <f>COUNTIF($A$2:A147,A147)</f>
        <v>1</v>
      </c>
      <c r="C147" s="2">
        <v>45770</v>
      </c>
      <c r="D147" t="s">
        <v>17</v>
      </c>
      <c r="E147" t="s">
        <v>28</v>
      </c>
      <c r="F147" t="s">
        <v>24</v>
      </c>
      <c r="G147" t="s">
        <v>29</v>
      </c>
      <c r="H147" t="s">
        <v>26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41.3</v>
      </c>
    </row>
    <row r="148" spans="1:17">
      <c r="A148" t="s">
        <v>178</v>
      </c>
      <c r="B148">
        <f>COUNTIF($A$2:A148,A148)</f>
        <v>1</v>
      </c>
      <c r="C148" s="2">
        <v>45741</v>
      </c>
      <c r="D148" t="s">
        <v>17</v>
      </c>
      <c r="E148" t="s">
        <v>23</v>
      </c>
      <c r="F148" t="s">
        <v>24</v>
      </c>
      <c r="G148" t="s">
        <v>25</v>
      </c>
      <c r="H148" t="s">
        <v>21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38.9</v>
      </c>
    </row>
    <row r="149" spans="1:17">
      <c r="A149" t="s">
        <v>179</v>
      </c>
      <c r="B149">
        <f>COUNTIF($A$2:A149,A149)</f>
        <v>1</v>
      </c>
      <c r="C149" s="2">
        <v>45802</v>
      </c>
      <c r="D149" t="s">
        <v>17</v>
      </c>
      <c r="E149" t="s">
        <v>32</v>
      </c>
      <c r="F149" t="s">
        <v>19</v>
      </c>
      <c r="G149" t="s">
        <v>25</v>
      </c>
      <c r="H149" t="s">
        <v>21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63.6</v>
      </c>
    </row>
    <row r="150" spans="1:17">
      <c r="A150" t="s">
        <v>180</v>
      </c>
      <c r="B150">
        <f>COUNTIF($A$2:A150,A150)</f>
        <v>1</v>
      </c>
      <c r="C150" s="2">
        <v>45685</v>
      </c>
      <c r="D150" t="s">
        <v>17</v>
      </c>
      <c r="E150" t="s">
        <v>18</v>
      </c>
      <c r="F150" t="s">
        <v>24</v>
      </c>
      <c r="G150" t="s">
        <v>25</v>
      </c>
      <c r="H150" t="s">
        <v>26</v>
      </c>
      <c r="I150">
        <v>1</v>
      </c>
      <c r="J150">
        <v>1</v>
      </c>
      <c r="K150">
        <v>1</v>
      </c>
      <c r="L150">
        <v>1</v>
      </c>
      <c r="M150">
        <v>577.94000000000005</v>
      </c>
      <c r="N150">
        <v>0</v>
      </c>
      <c r="O150">
        <v>0</v>
      </c>
      <c r="P150">
        <v>9</v>
      </c>
      <c r="Q150">
        <v>76.599999999999994</v>
      </c>
    </row>
    <row r="151" spans="1:17">
      <c r="A151" t="s">
        <v>181</v>
      </c>
      <c r="B151">
        <f>COUNTIF($A$2:A151,A151)</f>
        <v>1</v>
      </c>
      <c r="C151" s="2">
        <v>45700</v>
      </c>
      <c r="D151" t="s">
        <v>17</v>
      </c>
      <c r="E151" t="s">
        <v>23</v>
      </c>
      <c r="F151" t="s">
        <v>24</v>
      </c>
      <c r="G151" t="s">
        <v>29</v>
      </c>
      <c r="H151" t="s">
        <v>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Q151">
        <v>67.599999999999994</v>
      </c>
    </row>
    <row r="152" spans="1:17">
      <c r="A152" t="s">
        <v>182</v>
      </c>
      <c r="B152">
        <f>COUNTIF($A$2:A152,A152)</f>
        <v>1</v>
      </c>
      <c r="C152" s="2">
        <v>45776</v>
      </c>
      <c r="D152" t="s">
        <v>17</v>
      </c>
      <c r="E152" t="s">
        <v>18</v>
      </c>
      <c r="F152" t="s">
        <v>24</v>
      </c>
      <c r="G152" t="s">
        <v>41</v>
      </c>
      <c r="H152" t="s">
        <v>30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43.1</v>
      </c>
    </row>
    <row r="153" spans="1:17">
      <c r="A153" t="s">
        <v>183</v>
      </c>
      <c r="B153">
        <f>COUNTIF($A$2:A153,A153)</f>
        <v>1</v>
      </c>
      <c r="C153" s="2">
        <v>45729</v>
      </c>
      <c r="D153" t="s">
        <v>17</v>
      </c>
      <c r="E153" t="s">
        <v>32</v>
      </c>
      <c r="F153" t="s">
        <v>24</v>
      </c>
      <c r="G153" t="s">
        <v>20</v>
      </c>
      <c r="H153" t="s">
        <v>26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58.3</v>
      </c>
    </row>
    <row r="154" spans="1:17">
      <c r="A154" t="s">
        <v>184</v>
      </c>
      <c r="B154">
        <f>COUNTIF($A$2:A154,A154)</f>
        <v>1</v>
      </c>
      <c r="C154" s="2">
        <v>45692</v>
      </c>
      <c r="D154" t="s">
        <v>17</v>
      </c>
      <c r="E154" t="s">
        <v>28</v>
      </c>
      <c r="F154" t="s">
        <v>19</v>
      </c>
      <c r="G154" t="s">
        <v>29</v>
      </c>
      <c r="H154" t="s">
        <v>26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69.8</v>
      </c>
    </row>
    <row r="155" spans="1:17">
      <c r="A155" t="s">
        <v>185</v>
      </c>
      <c r="B155">
        <f>COUNTIF($A$2:A155,A155)</f>
        <v>1</v>
      </c>
      <c r="C155" s="2">
        <v>45720</v>
      </c>
      <c r="D155" t="s">
        <v>17</v>
      </c>
      <c r="E155" t="s">
        <v>32</v>
      </c>
      <c r="F155" t="s">
        <v>24</v>
      </c>
      <c r="G155" t="s">
        <v>39</v>
      </c>
      <c r="H155" t="s">
        <v>26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7">
      <c r="A156" t="s">
        <v>186</v>
      </c>
      <c r="B156">
        <f>COUNTIF($A$2:A156,A156)</f>
        <v>1</v>
      </c>
      <c r="C156" s="2">
        <v>45692</v>
      </c>
      <c r="D156" t="s">
        <v>17</v>
      </c>
      <c r="E156" t="s">
        <v>23</v>
      </c>
      <c r="F156" t="s">
        <v>24</v>
      </c>
      <c r="G156" t="s">
        <v>29</v>
      </c>
      <c r="H156" t="s">
        <v>21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Q156">
        <v>41.9</v>
      </c>
    </row>
    <row r="157" spans="1:17">
      <c r="A157" t="s">
        <v>187</v>
      </c>
      <c r="B157">
        <f>COUNTIF($A$2:A157,A157)</f>
        <v>1</v>
      </c>
      <c r="C157" s="2">
        <v>45727</v>
      </c>
      <c r="D157" t="s">
        <v>17</v>
      </c>
      <c r="E157" t="s">
        <v>18</v>
      </c>
      <c r="F157" t="s">
        <v>19</v>
      </c>
      <c r="G157" t="s">
        <v>25</v>
      </c>
      <c r="H157" t="s">
        <v>26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33.1</v>
      </c>
    </row>
    <row r="158" spans="1:17">
      <c r="A158" t="s">
        <v>188</v>
      </c>
      <c r="B158">
        <f>COUNTIF($A$2:A158,A158)</f>
        <v>1</v>
      </c>
      <c r="C158" s="2">
        <v>45769</v>
      </c>
      <c r="D158" t="s">
        <v>17</v>
      </c>
      <c r="E158" t="s">
        <v>23</v>
      </c>
      <c r="F158" t="s">
        <v>24</v>
      </c>
      <c r="G158" t="s">
        <v>25</v>
      </c>
      <c r="H158" t="s">
        <v>26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58.6</v>
      </c>
    </row>
    <row r="159" spans="1:17">
      <c r="A159" t="s">
        <v>189</v>
      </c>
      <c r="B159">
        <f>COUNTIF($A$2:A159,A159)</f>
        <v>1</v>
      </c>
      <c r="C159" s="2">
        <v>45724</v>
      </c>
      <c r="D159" t="s">
        <v>17</v>
      </c>
      <c r="E159" t="s">
        <v>18</v>
      </c>
      <c r="F159" t="s">
        <v>19</v>
      </c>
      <c r="G159" t="s">
        <v>29</v>
      </c>
      <c r="H159" t="s">
        <v>26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Q159">
        <v>55.7</v>
      </c>
    </row>
    <row r="160" spans="1:17">
      <c r="A160" t="s">
        <v>190</v>
      </c>
      <c r="B160">
        <f>COUNTIF($A$2:A160,A160)</f>
        <v>1</v>
      </c>
      <c r="C160" s="2">
        <v>45726</v>
      </c>
      <c r="D160" t="s">
        <v>17</v>
      </c>
      <c r="E160" t="s">
        <v>28</v>
      </c>
      <c r="F160" t="s">
        <v>24</v>
      </c>
      <c r="G160" t="s">
        <v>25</v>
      </c>
      <c r="H160" t="s">
        <v>26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</v>
      </c>
      <c r="O160">
        <v>0</v>
      </c>
      <c r="Q160">
        <v>64.900000000000006</v>
      </c>
    </row>
    <row r="161" spans="1:17">
      <c r="A161" t="s">
        <v>191</v>
      </c>
      <c r="B161">
        <f>COUNTIF($A$2:A161,A161)</f>
        <v>1</v>
      </c>
      <c r="C161" s="2">
        <v>45795</v>
      </c>
      <c r="D161" t="s">
        <v>17</v>
      </c>
      <c r="E161" t="s">
        <v>18</v>
      </c>
      <c r="F161" t="s">
        <v>19</v>
      </c>
      <c r="G161" t="s">
        <v>29</v>
      </c>
      <c r="H161" t="s">
        <v>21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Q161">
        <v>72.3</v>
      </c>
    </row>
    <row r="162" spans="1:17">
      <c r="A162" t="s">
        <v>192</v>
      </c>
      <c r="B162">
        <f>COUNTIF($A$2:A162,A162)</f>
        <v>1</v>
      </c>
      <c r="C162" s="2">
        <v>45791</v>
      </c>
      <c r="D162" t="s">
        <v>17</v>
      </c>
      <c r="E162" t="s">
        <v>18</v>
      </c>
      <c r="F162" t="s">
        <v>24</v>
      </c>
      <c r="G162" t="s">
        <v>41</v>
      </c>
      <c r="H162" t="s">
        <v>21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42.1</v>
      </c>
    </row>
    <row r="163" spans="1:17">
      <c r="A163" t="s">
        <v>193</v>
      </c>
      <c r="B163">
        <f>COUNTIF($A$2:A163,A163)</f>
        <v>1</v>
      </c>
      <c r="C163" s="2">
        <v>45689</v>
      </c>
      <c r="D163" t="s">
        <v>17</v>
      </c>
      <c r="E163" t="s">
        <v>18</v>
      </c>
      <c r="F163" t="s">
        <v>24</v>
      </c>
      <c r="G163" t="s">
        <v>25</v>
      </c>
      <c r="H163" t="s">
        <v>26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7">
      <c r="A164" t="s">
        <v>194</v>
      </c>
      <c r="B164">
        <f>COUNTIF($A$2:A164,A164)</f>
        <v>1</v>
      </c>
      <c r="C164" s="2">
        <v>45758</v>
      </c>
      <c r="D164" t="s">
        <v>17</v>
      </c>
      <c r="E164" t="s">
        <v>32</v>
      </c>
      <c r="F164" t="s">
        <v>24</v>
      </c>
      <c r="G164" t="s">
        <v>25</v>
      </c>
      <c r="H164" t="s">
        <v>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Q164">
        <v>64.8</v>
      </c>
    </row>
    <row r="165" spans="1:17">
      <c r="A165" t="s">
        <v>195</v>
      </c>
      <c r="B165">
        <f>COUNTIF($A$2:A165,A165)</f>
        <v>1</v>
      </c>
      <c r="C165" s="2">
        <v>45702</v>
      </c>
      <c r="D165" t="s">
        <v>17</v>
      </c>
      <c r="E165" t="s">
        <v>28</v>
      </c>
      <c r="F165" t="s">
        <v>24</v>
      </c>
      <c r="G165" t="s">
        <v>25</v>
      </c>
      <c r="H165" t="s">
        <v>26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Q165">
        <v>72.099999999999994</v>
      </c>
    </row>
    <row r="166" spans="1:17">
      <c r="A166" t="s">
        <v>196</v>
      </c>
      <c r="B166">
        <f>COUNTIF($A$2:A166,A166)</f>
        <v>1</v>
      </c>
      <c r="C166" s="2">
        <v>45796</v>
      </c>
      <c r="D166" t="s">
        <v>17</v>
      </c>
      <c r="E166" t="s">
        <v>28</v>
      </c>
      <c r="F166" t="s">
        <v>24</v>
      </c>
      <c r="G166" t="s">
        <v>41</v>
      </c>
      <c r="H166" t="s">
        <v>26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50.6</v>
      </c>
    </row>
    <row r="167" spans="1:17">
      <c r="A167" t="s">
        <v>197</v>
      </c>
      <c r="B167">
        <f>COUNTIF($A$2:A167,A167)</f>
        <v>1</v>
      </c>
      <c r="C167" s="2">
        <v>45773</v>
      </c>
      <c r="D167" t="s">
        <v>17</v>
      </c>
      <c r="E167" t="s">
        <v>18</v>
      </c>
      <c r="F167" t="s">
        <v>19</v>
      </c>
      <c r="G167" t="s">
        <v>29</v>
      </c>
      <c r="H167" t="s">
        <v>21</v>
      </c>
      <c r="I167">
        <v>1</v>
      </c>
      <c r="J167">
        <v>1</v>
      </c>
      <c r="K167">
        <v>1</v>
      </c>
      <c r="L167">
        <v>1</v>
      </c>
      <c r="M167">
        <v>1281.25</v>
      </c>
      <c r="N167">
        <v>1</v>
      </c>
      <c r="O167">
        <v>0</v>
      </c>
      <c r="P167">
        <v>9</v>
      </c>
      <c r="Q167">
        <v>43.4</v>
      </c>
    </row>
    <row r="168" spans="1:17">
      <c r="A168" t="s">
        <v>198</v>
      </c>
      <c r="B168">
        <f>COUNTIF($A$2:A168,A168)</f>
        <v>1</v>
      </c>
      <c r="C168" s="2">
        <v>45753</v>
      </c>
      <c r="D168" t="s">
        <v>17</v>
      </c>
      <c r="E168" t="s">
        <v>32</v>
      </c>
      <c r="F168" t="s">
        <v>24</v>
      </c>
      <c r="G168" t="s">
        <v>41</v>
      </c>
      <c r="H168" t="s">
        <v>26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Q168">
        <v>59.7</v>
      </c>
    </row>
    <row r="169" spans="1:17">
      <c r="A169" t="s">
        <v>199</v>
      </c>
      <c r="B169">
        <f>COUNTIF($A$2:A169,A169)</f>
        <v>1</v>
      </c>
      <c r="C169" s="2">
        <v>45722</v>
      </c>
      <c r="D169" t="s">
        <v>17</v>
      </c>
      <c r="E169" t="s">
        <v>32</v>
      </c>
      <c r="F169" t="s">
        <v>24</v>
      </c>
      <c r="G169" t="s">
        <v>29</v>
      </c>
      <c r="H169" t="s">
        <v>26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</row>
    <row r="170" spans="1:17">
      <c r="A170" t="s">
        <v>200</v>
      </c>
      <c r="B170">
        <f>COUNTIF($A$2:A170,A170)</f>
        <v>1</v>
      </c>
      <c r="C170" s="2">
        <v>45726</v>
      </c>
      <c r="D170" t="s">
        <v>17</v>
      </c>
      <c r="E170" t="s">
        <v>23</v>
      </c>
      <c r="F170" t="s">
        <v>24</v>
      </c>
      <c r="G170" t="s">
        <v>41</v>
      </c>
      <c r="H170" t="s">
        <v>21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Q170">
        <v>54.5</v>
      </c>
    </row>
    <row r="171" spans="1:17">
      <c r="A171" t="s">
        <v>201</v>
      </c>
      <c r="B171">
        <f>COUNTIF($A$2:A171,A171)</f>
        <v>1</v>
      </c>
      <c r="C171" s="2">
        <v>45746</v>
      </c>
      <c r="D171" t="s">
        <v>17</v>
      </c>
      <c r="E171" t="s">
        <v>18</v>
      </c>
      <c r="F171" t="s">
        <v>24</v>
      </c>
      <c r="G171" t="s">
        <v>25</v>
      </c>
      <c r="H171" t="s">
        <v>26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Q171">
        <v>71.099999999999994</v>
      </c>
    </row>
    <row r="172" spans="1:17">
      <c r="A172" t="s">
        <v>202</v>
      </c>
      <c r="B172">
        <f>COUNTIF($A$2:A172,A172)</f>
        <v>1</v>
      </c>
      <c r="C172" s="2">
        <v>45806</v>
      </c>
      <c r="D172" t="s">
        <v>17</v>
      </c>
      <c r="E172" t="s">
        <v>28</v>
      </c>
      <c r="G172" t="s">
        <v>29</v>
      </c>
      <c r="H172" t="s">
        <v>26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Q172">
        <v>44.4</v>
      </c>
    </row>
    <row r="173" spans="1:17">
      <c r="A173" t="s">
        <v>203</v>
      </c>
      <c r="B173">
        <f>COUNTIF($A$2:A173,A173)</f>
        <v>1</v>
      </c>
      <c r="C173" s="2">
        <v>45739</v>
      </c>
      <c r="D173" t="s">
        <v>17</v>
      </c>
      <c r="E173" t="s">
        <v>18</v>
      </c>
      <c r="F173" t="s">
        <v>24</v>
      </c>
      <c r="G173" t="s">
        <v>25</v>
      </c>
      <c r="H173" t="s">
        <v>26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61.7</v>
      </c>
    </row>
    <row r="174" spans="1:17">
      <c r="A174" t="s">
        <v>204</v>
      </c>
      <c r="B174">
        <f>COUNTIF($A$2:A174,A174)</f>
        <v>1</v>
      </c>
      <c r="C174" s="2">
        <v>45706</v>
      </c>
      <c r="D174" t="s">
        <v>17</v>
      </c>
      <c r="E174" t="s">
        <v>18</v>
      </c>
      <c r="F174" t="s">
        <v>34</v>
      </c>
      <c r="G174" t="s">
        <v>25</v>
      </c>
      <c r="H174" t="s">
        <v>21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Q174">
        <v>81.3</v>
      </c>
    </row>
    <row r="175" spans="1:17">
      <c r="A175" t="s">
        <v>205</v>
      </c>
      <c r="B175">
        <f>COUNTIF($A$2:A175,A175)</f>
        <v>1</v>
      </c>
      <c r="C175" s="2">
        <v>45683</v>
      </c>
      <c r="D175" t="s">
        <v>17</v>
      </c>
      <c r="E175" t="s">
        <v>18</v>
      </c>
      <c r="F175" t="s">
        <v>19</v>
      </c>
      <c r="G175" t="s">
        <v>20</v>
      </c>
      <c r="H175" t="s">
        <v>26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Q175">
        <v>28.7</v>
      </c>
    </row>
    <row r="176" spans="1:17">
      <c r="A176" t="s">
        <v>206</v>
      </c>
      <c r="B176">
        <f>COUNTIF($A$2:A176,A176)</f>
        <v>1</v>
      </c>
      <c r="C176" s="2">
        <v>45770</v>
      </c>
      <c r="D176" t="s">
        <v>17</v>
      </c>
      <c r="E176" t="s">
        <v>28</v>
      </c>
      <c r="F176" t="s">
        <v>24</v>
      </c>
      <c r="G176" t="s">
        <v>41</v>
      </c>
      <c r="H176" t="s">
        <v>21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Q176">
        <v>53</v>
      </c>
    </row>
    <row r="177" spans="1:17">
      <c r="A177" t="s">
        <v>207</v>
      </c>
      <c r="B177">
        <f>COUNTIF($A$2:A177,A177)</f>
        <v>1</v>
      </c>
      <c r="C177" s="2">
        <v>45732</v>
      </c>
      <c r="D177" t="s">
        <v>17</v>
      </c>
      <c r="E177" t="s">
        <v>32</v>
      </c>
      <c r="F177" t="s">
        <v>34</v>
      </c>
      <c r="G177" t="s">
        <v>39</v>
      </c>
      <c r="H177" t="s">
        <v>21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54.9</v>
      </c>
    </row>
    <row r="178" spans="1:17">
      <c r="A178" t="s">
        <v>208</v>
      </c>
      <c r="B178">
        <f>COUNTIF($A$2:A178,A178)</f>
        <v>1</v>
      </c>
      <c r="C178" s="2">
        <v>45776</v>
      </c>
      <c r="D178" t="s">
        <v>17</v>
      </c>
      <c r="E178" t="s">
        <v>23</v>
      </c>
      <c r="F178" t="s">
        <v>24</v>
      </c>
      <c r="G178" t="s">
        <v>25</v>
      </c>
      <c r="H178" t="s">
        <v>21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58.2</v>
      </c>
    </row>
    <row r="179" spans="1:17">
      <c r="A179" t="s">
        <v>209</v>
      </c>
      <c r="B179">
        <f>COUNTIF($A$2:A179,A179)</f>
        <v>1</v>
      </c>
      <c r="C179" s="2">
        <v>45753</v>
      </c>
      <c r="D179" t="s">
        <v>17</v>
      </c>
      <c r="E179" t="s">
        <v>18</v>
      </c>
      <c r="F179" t="s">
        <v>24</v>
      </c>
      <c r="G179" t="s">
        <v>25</v>
      </c>
      <c r="H179" t="s">
        <v>26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80.599999999999994</v>
      </c>
    </row>
    <row r="180" spans="1:17">
      <c r="A180" t="s">
        <v>210</v>
      </c>
      <c r="B180">
        <f>COUNTIF($A$2:A180,A180)</f>
        <v>1</v>
      </c>
      <c r="C180" s="2">
        <v>45764</v>
      </c>
      <c r="D180" t="s">
        <v>17</v>
      </c>
      <c r="E180" t="s">
        <v>18</v>
      </c>
      <c r="F180" t="s">
        <v>19</v>
      </c>
      <c r="G180" t="s">
        <v>39</v>
      </c>
      <c r="H180" t="s">
        <v>30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Q180">
        <v>38.4</v>
      </c>
    </row>
    <row r="181" spans="1:17">
      <c r="A181" t="s">
        <v>211</v>
      </c>
      <c r="B181">
        <f>COUNTIF($A$2:A181,A181)</f>
        <v>1</v>
      </c>
      <c r="C181" s="2">
        <v>45750</v>
      </c>
      <c r="D181" t="s">
        <v>17</v>
      </c>
      <c r="E181" t="s">
        <v>32</v>
      </c>
      <c r="F181" t="s">
        <v>24</v>
      </c>
      <c r="G181" t="s">
        <v>29</v>
      </c>
      <c r="H181" t="s">
        <v>26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Q181">
        <v>56.1</v>
      </c>
    </row>
    <row r="182" spans="1:17">
      <c r="A182" t="s">
        <v>212</v>
      </c>
      <c r="B182">
        <f>COUNTIF($A$2:A182,A182)</f>
        <v>1</v>
      </c>
      <c r="C182" s="2">
        <v>45772</v>
      </c>
      <c r="D182" t="s">
        <v>17</v>
      </c>
      <c r="E182" t="s">
        <v>23</v>
      </c>
      <c r="F182" t="s">
        <v>24</v>
      </c>
      <c r="G182" t="s">
        <v>29</v>
      </c>
      <c r="H182" t="s">
        <v>26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Q182">
        <v>62.6</v>
      </c>
    </row>
    <row r="183" spans="1:17">
      <c r="A183" t="s">
        <v>213</v>
      </c>
      <c r="B183">
        <f>COUNTIF($A$2:A183,A183)</f>
        <v>1</v>
      </c>
      <c r="C183" s="2">
        <v>45777</v>
      </c>
      <c r="D183" t="s">
        <v>17</v>
      </c>
      <c r="E183" t="s">
        <v>32</v>
      </c>
      <c r="F183" t="s">
        <v>24</v>
      </c>
      <c r="G183" t="s">
        <v>25</v>
      </c>
      <c r="H183" t="s">
        <v>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36.299999999999997</v>
      </c>
    </row>
    <row r="184" spans="1:17">
      <c r="A184" t="s">
        <v>214</v>
      </c>
      <c r="B184">
        <f>COUNTIF($A$2:A184,A184)</f>
        <v>1</v>
      </c>
      <c r="C184" s="2">
        <v>45728</v>
      </c>
      <c r="D184" t="s">
        <v>17</v>
      </c>
      <c r="E184" t="s">
        <v>32</v>
      </c>
      <c r="F184" t="s">
        <v>24</v>
      </c>
      <c r="G184" t="s">
        <v>29</v>
      </c>
      <c r="H184" t="s">
        <v>26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52.1</v>
      </c>
    </row>
    <row r="185" spans="1:17">
      <c r="A185" t="s">
        <v>215</v>
      </c>
      <c r="B185">
        <f>COUNTIF($A$2:A185,A185)</f>
        <v>1</v>
      </c>
      <c r="C185" s="2">
        <v>45781</v>
      </c>
      <c r="D185" t="s">
        <v>17</v>
      </c>
      <c r="E185" t="s">
        <v>32</v>
      </c>
      <c r="F185" t="s">
        <v>24</v>
      </c>
      <c r="G185" t="s">
        <v>25</v>
      </c>
      <c r="H185" t="s">
        <v>26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45.1</v>
      </c>
    </row>
    <row r="186" spans="1:17">
      <c r="A186" t="s">
        <v>216</v>
      </c>
      <c r="B186">
        <f>COUNTIF($A$2:A186,A186)</f>
        <v>1</v>
      </c>
      <c r="C186" s="2">
        <v>45695</v>
      </c>
      <c r="D186" t="s">
        <v>17</v>
      </c>
      <c r="E186" t="s">
        <v>32</v>
      </c>
      <c r="F186" t="s">
        <v>34</v>
      </c>
      <c r="G186" t="s">
        <v>29</v>
      </c>
      <c r="H186" t="s">
        <v>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Q186">
        <v>67.5</v>
      </c>
    </row>
    <row r="187" spans="1:17">
      <c r="A187" t="s">
        <v>217</v>
      </c>
      <c r="B187">
        <f>COUNTIF($A$2:A187,A187)</f>
        <v>1</v>
      </c>
      <c r="C187" s="2">
        <v>45775</v>
      </c>
      <c r="D187" t="s">
        <v>17</v>
      </c>
      <c r="E187" t="s">
        <v>28</v>
      </c>
      <c r="F187" t="s">
        <v>34</v>
      </c>
      <c r="G187" t="s">
        <v>20</v>
      </c>
      <c r="H187" t="s">
        <v>21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Q187">
        <v>80</v>
      </c>
    </row>
    <row r="188" spans="1:17">
      <c r="A188" t="s">
        <v>218</v>
      </c>
      <c r="B188">
        <f>COUNTIF($A$2:A188,A188)</f>
        <v>1</v>
      </c>
      <c r="C188" s="2">
        <v>45792</v>
      </c>
      <c r="D188" t="s">
        <v>17</v>
      </c>
      <c r="E188" t="s">
        <v>28</v>
      </c>
      <c r="F188" t="s">
        <v>19</v>
      </c>
      <c r="G188" t="s">
        <v>39</v>
      </c>
      <c r="H188" t="s">
        <v>26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56.4</v>
      </c>
    </row>
    <row r="189" spans="1:17">
      <c r="A189" t="s">
        <v>219</v>
      </c>
      <c r="B189">
        <f>COUNTIF($A$2:A189,A189)</f>
        <v>1</v>
      </c>
      <c r="C189" s="2">
        <v>45675</v>
      </c>
      <c r="D189" t="s">
        <v>17</v>
      </c>
      <c r="E189" t="s">
        <v>23</v>
      </c>
      <c r="F189" t="s">
        <v>24</v>
      </c>
      <c r="G189" t="s">
        <v>29</v>
      </c>
      <c r="H189" t="s">
        <v>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Q189">
        <v>55.4</v>
      </c>
    </row>
    <row r="190" spans="1:17">
      <c r="A190" t="s">
        <v>220</v>
      </c>
      <c r="B190">
        <f>COUNTIF($A$2:A190,A190)</f>
        <v>1</v>
      </c>
      <c r="C190" s="2">
        <v>45703</v>
      </c>
      <c r="D190" t="s">
        <v>17</v>
      </c>
      <c r="E190" t="s">
        <v>32</v>
      </c>
      <c r="F190" t="s">
        <v>24</v>
      </c>
      <c r="G190" t="s">
        <v>41</v>
      </c>
      <c r="H190" t="s">
        <v>21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67.900000000000006</v>
      </c>
    </row>
    <row r="191" spans="1:17">
      <c r="A191" t="s">
        <v>221</v>
      </c>
      <c r="B191">
        <f>COUNTIF($A$2:A191,A191)</f>
        <v>1</v>
      </c>
      <c r="C191" s="2">
        <v>45706</v>
      </c>
      <c r="D191" t="s">
        <v>17</v>
      </c>
      <c r="E191" t="s">
        <v>18</v>
      </c>
      <c r="F191" t="s">
        <v>34</v>
      </c>
      <c r="G191" t="s">
        <v>20</v>
      </c>
      <c r="H191" t="s">
        <v>26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62.5</v>
      </c>
    </row>
    <row r="192" spans="1:17">
      <c r="A192" t="s">
        <v>222</v>
      </c>
      <c r="B192">
        <f>COUNTIF($A$2:A192,A192)</f>
        <v>1</v>
      </c>
      <c r="C192" s="2">
        <v>45687</v>
      </c>
      <c r="D192" t="s">
        <v>17</v>
      </c>
      <c r="E192" t="s">
        <v>32</v>
      </c>
      <c r="F192" t="s">
        <v>19</v>
      </c>
      <c r="G192" t="s">
        <v>20</v>
      </c>
      <c r="H192" t="s">
        <v>21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Q192">
        <v>54.3</v>
      </c>
    </row>
    <row r="193" spans="1:17">
      <c r="A193" t="s">
        <v>223</v>
      </c>
      <c r="B193">
        <f>COUNTIF($A$2:A193,A193)</f>
        <v>1</v>
      </c>
      <c r="C193" s="2">
        <v>45697</v>
      </c>
      <c r="D193" t="s">
        <v>17</v>
      </c>
      <c r="E193" t="s">
        <v>32</v>
      </c>
      <c r="F193" t="s">
        <v>19</v>
      </c>
      <c r="G193" t="s">
        <v>25</v>
      </c>
      <c r="H193" t="s">
        <v>21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37.5</v>
      </c>
    </row>
    <row r="194" spans="1:17">
      <c r="A194" t="s">
        <v>224</v>
      </c>
      <c r="B194">
        <f>COUNTIF($A$2:A194,A194)</f>
        <v>1</v>
      </c>
      <c r="C194" s="2">
        <v>45732</v>
      </c>
      <c r="D194" t="s">
        <v>17</v>
      </c>
      <c r="E194" t="s">
        <v>23</v>
      </c>
      <c r="F194" t="s">
        <v>24</v>
      </c>
      <c r="G194" t="s">
        <v>29</v>
      </c>
      <c r="H194" t="s">
        <v>21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52.6</v>
      </c>
    </row>
    <row r="195" spans="1:17">
      <c r="A195" t="s">
        <v>225</v>
      </c>
      <c r="B195">
        <f>COUNTIF($A$2:A195,A195)</f>
        <v>1</v>
      </c>
      <c r="C195" s="2">
        <v>45796</v>
      </c>
      <c r="D195" t="s">
        <v>17</v>
      </c>
      <c r="E195" t="s">
        <v>18</v>
      </c>
      <c r="F195" t="s">
        <v>24</v>
      </c>
      <c r="G195" t="s">
        <v>29</v>
      </c>
      <c r="H195" t="s">
        <v>26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46.1</v>
      </c>
    </row>
    <row r="196" spans="1:17">
      <c r="A196" t="s">
        <v>226</v>
      </c>
      <c r="B196">
        <f>COUNTIF($A$2:A196,A196)</f>
        <v>1</v>
      </c>
      <c r="C196" s="2">
        <v>45793</v>
      </c>
      <c r="D196" t="s">
        <v>17</v>
      </c>
      <c r="E196" t="s">
        <v>32</v>
      </c>
      <c r="F196" t="s">
        <v>19</v>
      </c>
      <c r="G196" t="s">
        <v>25</v>
      </c>
      <c r="H196" t="s">
        <v>21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54.7</v>
      </c>
    </row>
    <row r="197" spans="1:17">
      <c r="A197" t="s">
        <v>227</v>
      </c>
      <c r="B197">
        <f>COUNTIF($A$2:A197,A197)</f>
        <v>1</v>
      </c>
      <c r="C197" s="2">
        <v>45772</v>
      </c>
      <c r="D197" t="s">
        <v>17</v>
      </c>
      <c r="E197" t="s">
        <v>23</v>
      </c>
      <c r="F197" t="s">
        <v>19</v>
      </c>
      <c r="G197" t="s">
        <v>39</v>
      </c>
      <c r="H197" t="s">
        <v>21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74.2</v>
      </c>
    </row>
    <row r="198" spans="1:17">
      <c r="A198" t="s">
        <v>228</v>
      </c>
      <c r="B198">
        <f>COUNTIF($A$2:A198,A198)</f>
        <v>1</v>
      </c>
      <c r="C198" s="2">
        <v>45715</v>
      </c>
      <c r="D198" t="s">
        <v>17</v>
      </c>
      <c r="E198" t="s">
        <v>18</v>
      </c>
      <c r="F198" t="s">
        <v>24</v>
      </c>
      <c r="G198" t="s">
        <v>41</v>
      </c>
      <c r="H198" t="s">
        <v>21</v>
      </c>
      <c r="I198">
        <v>1</v>
      </c>
      <c r="J198">
        <v>1</v>
      </c>
      <c r="K198">
        <v>1</v>
      </c>
      <c r="L198">
        <v>1</v>
      </c>
      <c r="M198">
        <v>1052.8</v>
      </c>
      <c r="N198">
        <v>2</v>
      </c>
      <c r="O198">
        <v>0</v>
      </c>
      <c r="P198">
        <v>6</v>
      </c>
      <c r="Q198">
        <v>64.7</v>
      </c>
    </row>
    <row r="199" spans="1:17">
      <c r="A199" t="s">
        <v>229</v>
      </c>
      <c r="B199">
        <f>COUNTIF($A$2:A199,A199)</f>
        <v>1</v>
      </c>
      <c r="C199" s="2">
        <v>45773</v>
      </c>
      <c r="D199" t="s">
        <v>17</v>
      </c>
      <c r="E199" t="s">
        <v>32</v>
      </c>
      <c r="F199" t="s">
        <v>24</v>
      </c>
      <c r="G199" t="s">
        <v>29</v>
      </c>
      <c r="H199" t="s">
        <v>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Q199">
        <v>65.900000000000006</v>
      </c>
    </row>
    <row r="200" spans="1:17">
      <c r="A200" t="s">
        <v>230</v>
      </c>
      <c r="B200">
        <f>COUNTIF($A$2:A200,A200)</f>
        <v>1</v>
      </c>
      <c r="C200" s="2">
        <v>45791</v>
      </c>
      <c r="D200" t="s">
        <v>17</v>
      </c>
      <c r="E200" t="s">
        <v>18</v>
      </c>
      <c r="F200" t="s">
        <v>24</v>
      </c>
      <c r="G200" t="s">
        <v>25</v>
      </c>
      <c r="H200" t="s">
        <v>21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64</v>
      </c>
    </row>
    <row r="201" spans="1:17">
      <c r="A201" t="s">
        <v>231</v>
      </c>
      <c r="B201">
        <f>COUNTIF($A$2:A201,A201)</f>
        <v>1</v>
      </c>
      <c r="C201" s="2">
        <v>45721</v>
      </c>
      <c r="D201" t="s">
        <v>17</v>
      </c>
      <c r="E201" t="s">
        <v>18</v>
      </c>
      <c r="F201" t="s">
        <v>24</v>
      </c>
      <c r="G201" t="s">
        <v>25</v>
      </c>
      <c r="H201" t="s">
        <v>30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Q201">
        <v>57.2</v>
      </c>
    </row>
    <row r="202" spans="1:17">
      <c r="A202" t="s">
        <v>232</v>
      </c>
      <c r="B202">
        <f>COUNTIF($A$2:A202,A202)</f>
        <v>1</v>
      </c>
      <c r="C202" s="2">
        <v>45749</v>
      </c>
      <c r="D202" t="s">
        <v>17</v>
      </c>
      <c r="E202" t="s">
        <v>23</v>
      </c>
      <c r="F202" t="s">
        <v>19</v>
      </c>
      <c r="G202" t="s">
        <v>25</v>
      </c>
      <c r="H202" t="s">
        <v>26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80.5</v>
      </c>
    </row>
    <row r="203" spans="1:17">
      <c r="A203" t="s">
        <v>233</v>
      </c>
      <c r="B203">
        <f>COUNTIF($A$2:A203,A203)</f>
        <v>1</v>
      </c>
      <c r="C203" s="2">
        <v>45791</v>
      </c>
      <c r="D203" t="s">
        <v>17</v>
      </c>
      <c r="E203" t="s">
        <v>32</v>
      </c>
      <c r="F203" t="s">
        <v>34</v>
      </c>
      <c r="G203" t="s">
        <v>25</v>
      </c>
      <c r="H203" t="s">
        <v>26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53.9</v>
      </c>
    </row>
    <row r="204" spans="1:17">
      <c r="A204" t="s">
        <v>234</v>
      </c>
      <c r="B204">
        <f>COUNTIF($A$2:A204,A204)</f>
        <v>1</v>
      </c>
      <c r="C204" s="2">
        <v>45798</v>
      </c>
      <c r="D204" t="s">
        <v>17</v>
      </c>
      <c r="E204" t="s">
        <v>18</v>
      </c>
      <c r="F204" t="s">
        <v>24</v>
      </c>
      <c r="G204" t="s">
        <v>29</v>
      </c>
      <c r="H204" t="s">
        <v>26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Q204">
        <v>77.5</v>
      </c>
    </row>
    <row r="205" spans="1:17">
      <c r="A205" t="s">
        <v>235</v>
      </c>
      <c r="B205">
        <f>COUNTIF($A$2:A205,A205)</f>
        <v>1</v>
      </c>
      <c r="C205" s="2">
        <v>45684</v>
      </c>
      <c r="D205" t="s">
        <v>17</v>
      </c>
      <c r="E205" t="s">
        <v>28</v>
      </c>
      <c r="F205" t="s">
        <v>24</v>
      </c>
      <c r="G205" t="s">
        <v>41</v>
      </c>
      <c r="H205" t="s">
        <v>21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84.2</v>
      </c>
    </row>
    <row r="206" spans="1:17">
      <c r="A206" t="s">
        <v>236</v>
      </c>
      <c r="B206">
        <f>COUNTIF($A$2:A206,A206)</f>
        <v>1</v>
      </c>
      <c r="C206" s="2">
        <v>45799</v>
      </c>
      <c r="D206" t="s">
        <v>17</v>
      </c>
      <c r="E206" t="s">
        <v>23</v>
      </c>
      <c r="F206" t="s">
        <v>19</v>
      </c>
      <c r="G206" t="s">
        <v>25</v>
      </c>
      <c r="H206" t="s">
        <v>26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54.9</v>
      </c>
    </row>
    <row r="207" spans="1:17">
      <c r="A207" t="s">
        <v>237</v>
      </c>
      <c r="B207">
        <f>COUNTIF($A$2:A207,A207)</f>
        <v>1</v>
      </c>
      <c r="C207" s="2">
        <v>45796</v>
      </c>
      <c r="D207" t="s">
        <v>17</v>
      </c>
      <c r="E207" t="s">
        <v>32</v>
      </c>
      <c r="F207" t="s">
        <v>24</v>
      </c>
      <c r="G207" t="s">
        <v>29</v>
      </c>
      <c r="H207" t="s">
        <v>26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Q207">
        <v>69.3</v>
      </c>
    </row>
    <row r="208" spans="1:17">
      <c r="A208" t="s">
        <v>238</v>
      </c>
      <c r="B208">
        <f>COUNTIF($A$2:A208,A208)</f>
        <v>1</v>
      </c>
      <c r="C208" s="2">
        <v>45671</v>
      </c>
      <c r="D208" t="s">
        <v>17</v>
      </c>
      <c r="E208" t="s">
        <v>32</v>
      </c>
      <c r="F208" t="s">
        <v>19</v>
      </c>
      <c r="G208" t="s">
        <v>29</v>
      </c>
      <c r="H208" t="s">
        <v>26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Q208">
        <v>42.3</v>
      </c>
    </row>
    <row r="209" spans="1:17">
      <c r="A209" t="s">
        <v>239</v>
      </c>
      <c r="B209">
        <f>COUNTIF($A$2:A209,A209)</f>
        <v>1</v>
      </c>
      <c r="C209" s="2">
        <v>45678</v>
      </c>
      <c r="D209" t="s">
        <v>17</v>
      </c>
      <c r="E209" t="s">
        <v>18</v>
      </c>
      <c r="F209" t="s">
        <v>19</v>
      </c>
      <c r="G209" t="s">
        <v>39</v>
      </c>
      <c r="H209" t="s">
        <v>30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Q209">
        <v>69.599999999999994</v>
      </c>
    </row>
    <row r="210" spans="1:17">
      <c r="A210" t="s">
        <v>240</v>
      </c>
      <c r="B210">
        <f>COUNTIF($A$2:A210,A210)</f>
        <v>1</v>
      </c>
      <c r="C210" s="2">
        <v>45793</v>
      </c>
      <c r="D210" t="s">
        <v>17</v>
      </c>
      <c r="E210" t="s">
        <v>28</v>
      </c>
      <c r="F210" t="s">
        <v>24</v>
      </c>
      <c r="G210" t="s">
        <v>25</v>
      </c>
      <c r="H210" t="s">
        <v>26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40.700000000000003</v>
      </c>
    </row>
    <row r="211" spans="1:17">
      <c r="A211" t="s">
        <v>241</v>
      </c>
      <c r="B211">
        <f>COUNTIF($A$2:A211,A211)</f>
        <v>1</v>
      </c>
      <c r="C211" s="2">
        <v>45690</v>
      </c>
      <c r="D211" t="s">
        <v>17</v>
      </c>
      <c r="E211" t="s">
        <v>18</v>
      </c>
      <c r="F211" t="s">
        <v>24</v>
      </c>
      <c r="G211" t="s">
        <v>20</v>
      </c>
      <c r="H211" t="s">
        <v>26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Q211">
        <v>54</v>
      </c>
    </row>
    <row r="212" spans="1:17">
      <c r="A212" t="s">
        <v>242</v>
      </c>
      <c r="B212">
        <f>COUNTIF($A$2:A212,A212)</f>
        <v>1</v>
      </c>
      <c r="C212" s="2">
        <v>45739</v>
      </c>
      <c r="D212" t="s">
        <v>17</v>
      </c>
      <c r="E212" t="s">
        <v>28</v>
      </c>
      <c r="G212" t="s">
        <v>39</v>
      </c>
      <c r="H212" t="s">
        <v>26</v>
      </c>
      <c r="I212">
        <v>1</v>
      </c>
      <c r="J212">
        <v>1</v>
      </c>
      <c r="K212">
        <v>1</v>
      </c>
      <c r="L212">
        <v>1</v>
      </c>
      <c r="M212">
        <v>553.37</v>
      </c>
      <c r="N212">
        <v>0</v>
      </c>
      <c r="O212">
        <v>0</v>
      </c>
      <c r="P212">
        <v>5</v>
      </c>
      <c r="Q212">
        <v>46.3</v>
      </c>
    </row>
    <row r="213" spans="1:17">
      <c r="A213" t="s">
        <v>243</v>
      </c>
      <c r="B213">
        <f>COUNTIF($A$2:A213,A213)</f>
        <v>1</v>
      </c>
      <c r="C213" s="2">
        <v>45681</v>
      </c>
      <c r="D213" t="s">
        <v>17</v>
      </c>
      <c r="E213" t="s">
        <v>28</v>
      </c>
      <c r="F213" t="s">
        <v>24</v>
      </c>
      <c r="G213" t="s">
        <v>25</v>
      </c>
      <c r="H213" t="s">
        <v>26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Q213">
        <v>64.2</v>
      </c>
    </row>
    <row r="214" spans="1:17">
      <c r="A214" t="s">
        <v>244</v>
      </c>
      <c r="B214">
        <f>COUNTIF($A$2:A214,A214)</f>
        <v>1</v>
      </c>
      <c r="C214" s="2">
        <v>45759</v>
      </c>
      <c r="D214" t="s">
        <v>17</v>
      </c>
      <c r="E214" t="s">
        <v>18</v>
      </c>
      <c r="F214" t="s">
        <v>19</v>
      </c>
      <c r="G214" t="s">
        <v>25</v>
      </c>
      <c r="H214" t="s">
        <v>26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75.2</v>
      </c>
    </row>
    <row r="215" spans="1:17">
      <c r="A215" t="s">
        <v>245</v>
      </c>
      <c r="B215">
        <f>COUNTIF($A$2:A215,A215)</f>
        <v>1</v>
      </c>
      <c r="C215" s="2">
        <v>45706</v>
      </c>
      <c r="D215" t="s">
        <v>17</v>
      </c>
      <c r="E215" t="s">
        <v>28</v>
      </c>
      <c r="F215" t="s">
        <v>19</v>
      </c>
      <c r="G215" t="s">
        <v>29</v>
      </c>
      <c r="H215" t="s">
        <v>26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60.9</v>
      </c>
    </row>
    <row r="216" spans="1:17">
      <c r="A216" t="s">
        <v>246</v>
      </c>
      <c r="B216">
        <f>COUNTIF($A$2:A216,A216)</f>
        <v>1</v>
      </c>
      <c r="C216" s="2">
        <v>45805</v>
      </c>
      <c r="D216" t="s">
        <v>17</v>
      </c>
      <c r="E216" t="s">
        <v>32</v>
      </c>
      <c r="F216" t="s">
        <v>24</v>
      </c>
      <c r="G216" t="s">
        <v>20</v>
      </c>
      <c r="H216" t="s">
        <v>21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Q216">
        <v>62.1</v>
      </c>
    </row>
    <row r="217" spans="1:17">
      <c r="A217" t="s">
        <v>247</v>
      </c>
      <c r="B217">
        <f>COUNTIF($A$2:A217,A217)</f>
        <v>1</v>
      </c>
      <c r="C217" s="2">
        <v>45765</v>
      </c>
      <c r="D217" t="s">
        <v>17</v>
      </c>
      <c r="E217" t="s">
        <v>32</v>
      </c>
      <c r="F217" t="s">
        <v>24</v>
      </c>
      <c r="G217" t="s">
        <v>41</v>
      </c>
      <c r="H217" t="s">
        <v>21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45.4</v>
      </c>
    </row>
    <row r="218" spans="1:17">
      <c r="A218" t="s">
        <v>248</v>
      </c>
      <c r="B218">
        <f>COUNTIF($A$2:A218,A218)</f>
        <v>1</v>
      </c>
      <c r="C218" s="2">
        <v>45743</v>
      </c>
      <c r="D218" t="s">
        <v>17</v>
      </c>
      <c r="E218" t="s">
        <v>18</v>
      </c>
      <c r="F218" t="s">
        <v>24</v>
      </c>
      <c r="G218" t="s">
        <v>29</v>
      </c>
      <c r="H218" t="s">
        <v>21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Q218">
        <v>53.3</v>
      </c>
    </row>
    <row r="219" spans="1:17">
      <c r="A219" t="s">
        <v>249</v>
      </c>
      <c r="B219">
        <f>COUNTIF($A$2:A219,A219)</f>
        <v>1</v>
      </c>
      <c r="C219" s="2">
        <v>45713</v>
      </c>
      <c r="D219" t="s">
        <v>17</v>
      </c>
      <c r="E219" t="s">
        <v>18</v>
      </c>
      <c r="F219" t="s">
        <v>34</v>
      </c>
      <c r="G219" t="s">
        <v>41</v>
      </c>
      <c r="H219" t="s">
        <v>26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7">
      <c r="A220" t="s">
        <v>250</v>
      </c>
      <c r="B220">
        <f>COUNTIF($A$2:A220,A220)</f>
        <v>1</v>
      </c>
      <c r="C220" s="2">
        <v>45707</v>
      </c>
      <c r="D220" t="s">
        <v>17</v>
      </c>
      <c r="E220" t="s">
        <v>28</v>
      </c>
      <c r="F220" t="s">
        <v>24</v>
      </c>
      <c r="G220" t="s">
        <v>29</v>
      </c>
      <c r="H220" t="s">
        <v>26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Q220">
        <v>38.200000000000003</v>
      </c>
    </row>
    <row r="221" spans="1:17">
      <c r="A221" t="s">
        <v>251</v>
      </c>
      <c r="B221">
        <f>COUNTIF($A$2:A221,A221)</f>
        <v>1</v>
      </c>
      <c r="C221" s="2">
        <v>45758</v>
      </c>
      <c r="D221" t="s">
        <v>17</v>
      </c>
      <c r="E221" t="s">
        <v>23</v>
      </c>
      <c r="F221" t="s">
        <v>24</v>
      </c>
      <c r="G221" t="s">
        <v>29</v>
      </c>
      <c r="H221" t="s">
        <v>26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3</v>
      </c>
      <c r="O221">
        <v>0</v>
      </c>
      <c r="Q221">
        <v>59</v>
      </c>
    </row>
    <row r="222" spans="1:17">
      <c r="A222" t="s">
        <v>252</v>
      </c>
      <c r="B222">
        <f>COUNTIF($A$2:A222,A222)</f>
        <v>1</v>
      </c>
      <c r="C222" s="2">
        <v>45679</v>
      </c>
      <c r="D222" t="s">
        <v>17</v>
      </c>
      <c r="E222" t="s">
        <v>28</v>
      </c>
      <c r="F222" t="s">
        <v>34</v>
      </c>
      <c r="G222" t="s">
        <v>39</v>
      </c>
      <c r="H222" t="s">
        <v>30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Q222">
        <v>80.599999999999994</v>
      </c>
    </row>
    <row r="223" spans="1:17">
      <c r="A223" t="s">
        <v>253</v>
      </c>
      <c r="B223">
        <f>COUNTIF($A$2:A223,A223)</f>
        <v>1</v>
      </c>
      <c r="C223" s="2">
        <v>45669</v>
      </c>
      <c r="D223" t="s">
        <v>17</v>
      </c>
      <c r="E223" t="s">
        <v>32</v>
      </c>
      <c r="F223" t="s">
        <v>24</v>
      </c>
      <c r="G223" t="s">
        <v>41</v>
      </c>
      <c r="H223" t="s">
        <v>26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67</v>
      </c>
    </row>
    <row r="224" spans="1:17">
      <c r="A224" t="s">
        <v>254</v>
      </c>
      <c r="B224">
        <f>COUNTIF($A$2:A224,A224)</f>
        <v>1</v>
      </c>
      <c r="C224" s="2">
        <v>45705</v>
      </c>
      <c r="D224" t="s">
        <v>17</v>
      </c>
      <c r="E224" t="s">
        <v>23</v>
      </c>
      <c r="F224" t="s">
        <v>24</v>
      </c>
      <c r="G224" t="s">
        <v>20</v>
      </c>
      <c r="H224" t="s">
        <v>26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Q224">
        <v>72.099999999999994</v>
      </c>
    </row>
    <row r="225" spans="1:17">
      <c r="A225" t="s">
        <v>255</v>
      </c>
      <c r="B225">
        <f>COUNTIF($A$2:A225,A225)</f>
        <v>1</v>
      </c>
      <c r="C225" s="2">
        <v>45758</v>
      </c>
      <c r="D225" t="s">
        <v>17</v>
      </c>
      <c r="E225" t="s">
        <v>23</v>
      </c>
      <c r="F225" t="s">
        <v>19</v>
      </c>
      <c r="G225" t="s">
        <v>25</v>
      </c>
      <c r="H225" t="s">
        <v>26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74.099999999999994</v>
      </c>
    </row>
    <row r="226" spans="1:17">
      <c r="A226" t="s">
        <v>256</v>
      </c>
      <c r="B226">
        <f>COUNTIF($A$2:A226,A226)</f>
        <v>1</v>
      </c>
      <c r="C226" s="2">
        <v>45802</v>
      </c>
      <c r="D226" t="s">
        <v>17</v>
      </c>
      <c r="E226" t="s">
        <v>32</v>
      </c>
      <c r="F226" t="s">
        <v>24</v>
      </c>
      <c r="G226" t="s">
        <v>39</v>
      </c>
      <c r="H226" t="s">
        <v>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Q226">
        <v>84.8</v>
      </c>
    </row>
    <row r="227" spans="1:17">
      <c r="A227" t="s">
        <v>257</v>
      </c>
      <c r="B227">
        <f>COUNTIF($A$2:A227,A227)</f>
        <v>1</v>
      </c>
      <c r="C227" s="2">
        <v>45728</v>
      </c>
      <c r="D227" t="s">
        <v>17</v>
      </c>
      <c r="E227" t="s">
        <v>32</v>
      </c>
      <c r="F227" t="s">
        <v>24</v>
      </c>
      <c r="G227" t="s">
        <v>25</v>
      </c>
      <c r="H227" t="s">
        <v>21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Q227">
        <v>33</v>
      </c>
    </row>
    <row r="228" spans="1:17">
      <c r="A228" t="s">
        <v>258</v>
      </c>
      <c r="B228">
        <f>COUNTIF($A$2:A228,A228)</f>
        <v>1</v>
      </c>
      <c r="C228" s="2">
        <v>45767</v>
      </c>
      <c r="D228" t="s">
        <v>17</v>
      </c>
      <c r="E228" t="s">
        <v>18</v>
      </c>
      <c r="F228" t="s">
        <v>34</v>
      </c>
      <c r="G228" t="s">
        <v>20</v>
      </c>
      <c r="H228" t="s">
        <v>26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52.5</v>
      </c>
    </row>
    <row r="229" spans="1:17">
      <c r="A229" t="s">
        <v>259</v>
      </c>
      <c r="B229">
        <f>COUNTIF($A$2:A229,A229)</f>
        <v>1</v>
      </c>
      <c r="C229" s="2">
        <v>45711</v>
      </c>
      <c r="D229" t="s">
        <v>17</v>
      </c>
      <c r="E229" t="s">
        <v>18</v>
      </c>
      <c r="F229" t="s">
        <v>34</v>
      </c>
      <c r="G229" t="s">
        <v>25</v>
      </c>
      <c r="H229" t="s">
        <v>26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66.900000000000006</v>
      </c>
    </row>
    <row r="230" spans="1:17">
      <c r="A230" t="s">
        <v>260</v>
      </c>
      <c r="B230">
        <f>COUNTIF($A$2:A230,A230)</f>
        <v>1</v>
      </c>
      <c r="C230" s="2">
        <v>45681</v>
      </c>
      <c r="D230" t="s">
        <v>17</v>
      </c>
      <c r="E230" t="s">
        <v>18</v>
      </c>
      <c r="F230" t="s">
        <v>24</v>
      </c>
      <c r="G230" t="s">
        <v>25</v>
      </c>
      <c r="H230" t="s">
        <v>21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0</v>
      </c>
      <c r="Q230">
        <v>32.700000000000003</v>
      </c>
    </row>
    <row r="231" spans="1:17">
      <c r="A231" t="s">
        <v>261</v>
      </c>
      <c r="B231">
        <f>COUNTIF($A$2:A231,A231)</f>
        <v>1</v>
      </c>
      <c r="C231" s="2">
        <v>45673</v>
      </c>
      <c r="D231" t="s">
        <v>17</v>
      </c>
      <c r="E231" t="s">
        <v>23</v>
      </c>
      <c r="F231" t="s">
        <v>24</v>
      </c>
      <c r="G231" t="s">
        <v>25</v>
      </c>
      <c r="H231" t="s">
        <v>30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0</v>
      </c>
      <c r="Q231">
        <v>70.599999999999994</v>
      </c>
    </row>
    <row r="232" spans="1:17">
      <c r="A232" t="s">
        <v>262</v>
      </c>
      <c r="B232">
        <f>COUNTIF($A$2:A232,A232)</f>
        <v>1</v>
      </c>
      <c r="C232" s="2">
        <v>45705</v>
      </c>
      <c r="D232" t="s">
        <v>17</v>
      </c>
      <c r="E232" t="s">
        <v>18</v>
      </c>
      <c r="F232" t="s">
        <v>24</v>
      </c>
      <c r="G232" t="s">
        <v>41</v>
      </c>
      <c r="H232" t="s">
        <v>26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Q232">
        <v>69.400000000000006</v>
      </c>
    </row>
    <row r="233" spans="1:17">
      <c r="A233" t="s">
        <v>263</v>
      </c>
      <c r="B233">
        <f>COUNTIF($A$2:A233,A233)</f>
        <v>1</v>
      </c>
      <c r="C233" s="2">
        <v>45781</v>
      </c>
      <c r="D233" t="s">
        <v>17</v>
      </c>
      <c r="E233" t="s">
        <v>18</v>
      </c>
      <c r="F233" t="s">
        <v>19</v>
      </c>
      <c r="G233" t="s">
        <v>25</v>
      </c>
      <c r="H233" t="s">
        <v>21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56.1</v>
      </c>
    </row>
    <row r="234" spans="1:17">
      <c r="A234" t="s">
        <v>264</v>
      </c>
      <c r="B234">
        <f>COUNTIF($A$2:A234,A234)</f>
        <v>1</v>
      </c>
      <c r="C234" s="2">
        <v>45669</v>
      </c>
      <c r="D234" t="s">
        <v>17</v>
      </c>
      <c r="E234" t="s">
        <v>23</v>
      </c>
      <c r="F234" t="s">
        <v>24</v>
      </c>
      <c r="G234" t="s">
        <v>25</v>
      </c>
      <c r="H234" t="s">
        <v>21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Q234">
        <v>55.8</v>
      </c>
    </row>
    <row r="235" spans="1:17">
      <c r="A235" t="s">
        <v>265</v>
      </c>
      <c r="B235">
        <f>COUNTIF($A$2:A235,A235)</f>
        <v>1</v>
      </c>
      <c r="C235" s="2">
        <v>45775</v>
      </c>
      <c r="D235" t="s">
        <v>17</v>
      </c>
      <c r="E235" t="s">
        <v>18</v>
      </c>
      <c r="F235" t="s">
        <v>34</v>
      </c>
      <c r="G235" t="s">
        <v>25</v>
      </c>
      <c r="H235" t="s">
        <v>26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49.3</v>
      </c>
    </row>
    <row r="236" spans="1:17">
      <c r="A236" t="s">
        <v>266</v>
      </c>
      <c r="B236">
        <f>COUNTIF($A$2:A236,A236)</f>
        <v>1</v>
      </c>
      <c r="C236" s="2">
        <v>45714</v>
      </c>
      <c r="D236" t="s">
        <v>17</v>
      </c>
      <c r="E236" t="s">
        <v>18</v>
      </c>
      <c r="F236" t="s">
        <v>24</v>
      </c>
      <c r="G236" t="s">
        <v>25</v>
      </c>
      <c r="H236" t="s">
        <v>26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Q236">
        <v>71.8</v>
      </c>
    </row>
    <row r="237" spans="1:17">
      <c r="A237" t="s">
        <v>267</v>
      </c>
      <c r="B237">
        <f>COUNTIF($A$2:A237,A237)</f>
        <v>1</v>
      </c>
      <c r="C237" s="2">
        <v>45734</v>
      </c>
      <c r="D237" t="s">
        <v>17</v>
      </c>
      <c r="E237" t="s">
        <v>23</v>
      </c>
      <c r="F237" t="s">
        <v>24</v>
      </c>
      <c r="G237" t="s">
        <v>41</v>
      </c>
      <c r="H237" t="s">
        <v>26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Q237">
        <v>39.700000000000003</v>
      </c>
    </row>
    <row r="238" spans="1:17">
      <c r="A238" t="s">
        <v>268</v>
      </c>
      <c r="B238">
        <f>COUNTIF($A$2:A238,A238)</f>
        <v>1</v>
      </c>
      <c r="C238" s="2">
        <v>45717</v>
      </c>
      <c r="D238" t="s">
        <v>17</v>
      </c>
      <c r="E238" t="s">
        <v>32</v>
      </c>
      <c r="F238" t="s">
        <v>19</v>
      </c>
      <c r="G238" t="s">
        <v>25</v>
      </c>
      <c r="H238" t="s">
        <v>30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Q238">
        <v>45.4</v>
      </c>
    </row>
    <row r="239" spans="1:17">
      <c r="A239" t="s">
        <v>269</v>
      </c>
      <c r="B239">
        <f>COUNTIF($A$2:A239,A239)</f>
        <v>1</v>
      </c>
      <c r="C239" s="2">
        <v>45752</v>
      </c>
      <c r="D239" t="s">
        <v>17</v>
      </c>
      <c r="E239" t="s">
        <v>18</v>
      </c>
      <c r="F239" t="s">
        <v>19</v>
      </c>
      <c r="G239" t="s">
        <v>41</v>
      </c>
      <c r="H239" t="s">
        <v>30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Q239">
        <v>69.900000000000006</v>
      </c>
    </row>
    <row r="240" spans="1:17">
      <c r="A240" t="s">
        <v>270</v>
      </c>
      <c r="B240">
        <f>COUNTIF($A$2:A240,A240)</f>
        <v>1</v>
      </c>
      <c r="C240" s="2">
        <v>45728</v>
      </c>
      <c r="D240" t="s">
        <v>17</v>
      </c>
      <c r="E240" t="s">
        <v>18</v>
      </c>
      <c r="F240" t="s">
        <v>19</v>
      </c>
      <c r="G240" t="s">
        <v>41</v>
      </c>
      <c r="H240" t="s">
        <v>26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Q240">
        <v>56.1</v>
      </c>
    </row>
    <row r="241" spans="1:17">
      <c r="A241" t="s">
        <v>271</v>
      </c>
      <c r="B241">
        <f>COUNTIF($A$2:A241,A241)</f>
        <v>1</v>
      </c>
      <c r="C241" s="2">
        <v>45731</v>
      </c>
      <c r="D241" t="s">
        <v>17</v>
      </c>
      <c r="E241" t="s">
        <v>23</v>
      </c>
      <c r="F241" t="s">
        <v>24</v>
      </c>
      <c r="G241" t="s">
        <v>39</v>
      </c>
      <c r="H241" t="s">
        <v>21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45.9</v>
      </c>
    </row>
    <row r="242" spans="1:17">
      <c r="A242" t="s">
        <v>272</v>
      </c>
      <c r="B242">
        <f>COUNTIF($A$2:A242,A242)</f>
        <v>1</v>
      </c>
      <c r="C242" s="2">
        <v>45711</v>
      </c>
      <c r="D242" t="s">
        <v>17</v>
      </c>
      <c r="E242" t="s">
        <v>23</v>
      </c>
      <c r="F242" t="s">
        <v>24</v>
      </c>
      <c r="G242" t="s">
        <v>20</v>
      </c>
      <c r="H242" t="s">
        <v>26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65.8</v>
      </c>
    </row>
    <row r="243" spans="1:17">
      <c r="A243" t="s">
        <v>273</v>
      </c>
      <c r="B243">
        <f>COUNTIF($A$2:A243,A243)</f>
        <v>1</v>
      </c>
      <c r="C243" s="2">
        <v>45769</v>
      </c>
      <c r="D243" t="s">
        <v>17</v>
      </c>
      <c r="E243" t="s">
        <v>18</v>
      </c>
      <c r="F243" t="s">
        <v>24</v>
      </c>
      <c r="G243" t="s">
        <v>25</v>
      </c>
      <c r="H243" t="s">
        <v>21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48.2</v>
      </c>
    </row>
    <row r="244" spans="1:17">
      <c r="A244" t="s">
        <v>274</v>
      </c>
      <c r="B244">
        <f>COUNTIF($A$2:A244,A244)</f>
        <v>1</v>
      </c>
      <c r="C244" s="2">
        <v>45666</v>
      </c>
      <c r="D244" t="s">
        <v>17</v>
      </c>
      <c r="E244" t="s">
        <v>28</v>
      </c>
      <c r="F244" t="s">
        <v>24</v>
      </c>
      <c r="G244" t="s">
        <v>25</v>
      </c>
      <c r="H244" t="s">
        <v>21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Q244">
        <v>81.099999999999994</v>
      </c>
    </row>
    <row r="245" spans="1:17">
      <c r="A245" t="s">
        <v>275</v>
      </c>
      <c r="B245">
        <f>COUNTIF($A$2:A245,A245)</f>
        <v>1</v>
      </c>
      <c r="C245" s="2">
        <v>45721</v>
      </c>
      <c r="D245" t="s">
        <v>17</v>
      </c>
      <c r="E245" t="s">
        <v>28</v>
      </c>
      <c r="F245" t="s">
        <v>34</v>
      </c>
      <c r="G245" t="s">
        <v>41</v>
      </c>
      <c r="H245" t="s">
        <v>30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Q245">
        <v>53.2</v>
      </c>
    </row>
    <row r="246" spans="1:17">
      <c r="A246" t="s">
        <v>276</v>
      </c>
      <c r="B246">
        <f>COUNTIF($A$2:A246,A246)</f>
        <v>1</v>
      </c>
      <c r="C246" s="2">
        <v>45685</v>
      </c>
      <c r="D246" t="s">
        <v>17</v>
      </c>
      <c r="E246" t="s">
        <v>18</v>
      </c>
      <c r="F246" t="s">
        <v>24</v>
      </c>
      <c r="G246" t="s">
        <v>41</v>
      </c>
      <c r="H246" t="s">
        <v>26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Q246">
        <v>57.7</v>
      </c>
    </row>
    <row r="247" spans="1:17">
      <c r="A247" t="s">
        <v>277</v>
      </c>
      <c r="B247">
        <f>COUNTIF($A$2:A247,A247)</f>
        <v>1</v>
      </c>
      <c r="C247" s="2">
        <v>45678</v>
      </c>
      <c r="D247" t="s">
        <v>17</v>
      </c>
      <c r="E247" t="s">
        <v>23</v>
      </c>
      <c r="F247" t="s">
        <v>24</v>
      </c>
      <c r="G247" t="s">
        <v>29</v>
      </c>
      <c r="H247" t="s">
        <v>30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78.900000000000006</v>
      </c>
    </row>
    <row r="248" spans="1:17">
      <c r="A248" t="s">
        <v>278</v>
      </c>
      <c r="B248">
        <f>COUNTIF($A$2:A248,A248)</f>
        <v>1</v>
      </c>
      <c r="C248" s="2">
        <v>45730</v>
      </c>
      <c r="D248" t="s">
        <v>17</v>
      </c>
      <c r="E248" t="s">
        <v>32</v>
      </c>
      <c r="F248" t="s">
        <v>24</v>
      </c>
      <c r="G248" t="s">
        <v>39</v>
      </c>
      <c r="H248" t="s">
        <v>21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55.7</v>
      </c>
    </row>
    <row r="249" spans="1:17">
      <c r="A249" t="s">
        <v>279</v>
      </c>
      <c r="B249">
        <f>COUNTIF($A$2:A249,A249)</f>
        <v>1</v>
      </c>
      <c r="C249" s="2">
        <v>45691</v>
      </c>
      <c r="D249" t="s">
        <v>17</v>
      </c>
      <c r="E249" t="s">
        <v>23</v>
      </c>
      <c r="F249" t="s">
        <v>24</v>
      </c>
      <c r="G249" t="s">
        <v>29</v>
      </c>
      <c r="H249" t="s">
        <v>26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52.3</v>
      </c>
    </row>
    <row r="250" spans="1:17">
      <c r="A250" t="s">
        <v>280</v>
      </c>
      <c r="B250">
        <f>COUNTIF($A$2:A250,A250)</f>
        <v>1</v>
      </c>
      <c r="C250" s="2">
        <v>45799</v>
      </c>
      <c r="D250" t="s">
        <v>17</v>
      </c>
      <c r="E250" t="s">
        <v>18</v>
      </c>
      <c r="F250" t="s">
        <v>24</v>
      </c>
      <c r="G250" t="s">
        <v>41</v>
      </c>
      <c r="H250" t="s">
        <v>26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Q250">
        <v>51.5</v>
      </c>
    </row>
    <row r="251" spans="1:17">
      <c r="A251" t="s">
        <v>281</v>
      </c>
      <c r="B251">
        <f>COUNTIF($A$2:A251,A251)</f>
        <v>1</v>
      </c>
      <c r="C251" s="2">
        <v>45772</v>
      </c>
      <c r="D251" t="s">
        <v>17</v>
      </c>
      <c r="E251" t="s">
        <v>18</v>
      </c>
      <c r="F251" t="s">
        <v>19</v>
      </c>
      <c r="G251" t="s">
        <v>20</v>
      </c>
      <c r="H251" t="s">
        <v>26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Q251">
        <v>70.8</v>
      </c>
    </row>
    <row r="252" spans="1:17">
      <c r="A252" t="s">
        <v>282</v>
      </c>
      <c r="B252">
        <f>COUNTIF($A$2:A252,A252)</f>
        <v>1</v>
      </c>
      <c r="C252" s="2">
        <v>45687</v>
      </c>
      <c r="D252" t="s">
        <v>17</v>
      </c>
      <c r="E252" t="s">
        <v>18</v>
      </c>
      <c r="F252" t="s">
        <v>19</v>
      </c>
      <c r="G252" t="s">
        <v>20</v>
      </c>
      <c r="H252" t="s">
        <v>21</v>
      </c>
      <c r="I252">
        <v>1</v>
      </c>
      <c r="J252">
        <v>1</v>
      </c>
      <c r="K252">
        <v>1</v>
      </c>
      <c r="L252">
        <v>1</v>
      </c>
      <c r="M252">
        <v>1250.78</v>
      </c>
      <c r="N252">
        <v>0</v>
      </c>
      <c r="O252">
        <v>0</v>
      </c>
      <c r="P252">
        <v>10</v>
      </c>
      <c r="Q252">
        <v>39</v>
      </c>
    </row>
    <row r="253" spans="1:17">
      <c r="A253" t="s">
        <v>283</v>
      </c>
      <c r="B253">
        <f>COUNTIF($A$2:A253,A253)</f>
        <v>1</v>
      </c>
      <c r="C253" s="2">
        <v>45800</v>
      </c>
      <c r="D253" t="s">
        <v>17</v>
      </c>
      <c r="E253" t="s">
        <v>23</v>
      </c>
      <c r="F253" t="s">
        <v>24</v>
      </c>
      <c r="G253" t="s">
        <v>25</v>
      </c>
      <c r="H253" t="s">
        <v>26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Q253">
        <v>61.6</v>
      </c>
    </row>
    <row r="254" spans="1:17">
      <c r="A254" t="s">
        <v>284</v>
      </c>
      <c r="B254">
        <f>COUNTIF($A$2:A254,A254)</f>
        <v>1</v>
      </c>
      <c r="C254" s="2">
        <v>45702</v>
      </c>
      <c r="D254" t="s">
        <v>17</v>
      </c>
      <c r="E254" t="s">
        <v>28</v>
      </c>
      <c r="F254" t="s">
        <v>19</v>
      </c>
      <c r="G254" t="s">
        <v>25</v>
      </c>
      <c r="H254" t="s">
        <v>26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Q254">
        <v>46.8</v>
      </c>
    </row>
    <row r="255" spans="1:17">
      <c r="A255" t="s">
        <v>285</v>
      </c>
      <c r="B255">
        <f>COUNTIF($A$2:A255,A255)</f>
        <v>1</v>
      </c>
      <c r="C255" s="2">
        <v>45721</v>
      </c>
      <c r="D255" t="s">
        <v>17</v>
      </c>
      <c r="E255" t="s">
        <v>18</v>
      </c>
      <c r="F255" t="s">
        <v>24</v>
      </c>
      <c r="G255" t="s">
        <v>29</v>
      </c>
      <c r="H255" t="s">
        <v>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Q255">
        <v>58.5</v>
      </c>
    </row>
    <row r="256" spans="1:17">
      <c r="A256" t="s">
        <v>286</v>
      </c>
      <c r="B256">
        <f>COUNTIF($A$2:A256,A256)</f>
        <v>1</v>
      </c>
      <c r="C256" s="2">
        <v>45804</v>
      </c>
      <c r="D256" t="s">
        <v>17</v>
      </c>
      <c r="E256" t="s">
        <v>18</v>
      </c>
      <c r="F256" t="s">
        <v>24</v>
      </c>
      <c r="G256" t="s">
        <v>29</v>
      </c>
      <c r="H256" t="s">
        <v>21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70.900000000000006</v>
      </c>
    </row>
    <row r="257" spans="1:17">
      <c r="A257" t="s">
        <v>287</v>
      </c>
      <c r="B257">
        <f>COUNTIF($A$2:A257,A257)</f>
        <v>1</v>
      </c>
      <c r="C257" s="2">
        <v>45664</v>
      </c>
      <c r="D257" t="s">
        <v>17</v>
      </c>
      <c r="E257" t="s">
        <v>32</v>
      </c>
      <c r="F257" t="s">
        <v>24</v>
      </c>
      <c r="G257" t="s">
        <v>29</v>
      </c>
      <c r="H257" t="s">
        <v>26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48.4</v>
      </c>
    </row>
    <row r="258" spans="1:17">
      <c r="A258" t="s">
        <v>288</v>
      </c>
      <c r="B258">
        <f>COUNTIF($A$2:A258,A258)</f>
        <v>1</v>
      </c>
      <c r="C258" s="2">
        <v>45768</v>
      </c>
      <c r="D258" t="s">
        <v>17</v>
      </c>
      <c r="E258" t="s">
        <v>18</v>
      </c>
      <c r="F258" t="s">
        <v>24</v>
      </c>
      <c r="G258" t="s">
        <v>20</v>
      </c>
      <c r="H258" t="s">
        <v>26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58</v>
      </c>
    </row>
    <row r="259" spans="1:17">
      <c r="A259" t="s">
        <v>289</v>
      </c>
      <c r="B259">
        <f>COUNTIF($A$2:A259,A259)</f>
        <v>1</v>
      </c>
      <c r="C259" s="2">
        <v>45790</v>
      </c>
      <c r="D259" t="s">
        <v>17</v>
      </c>
      <c r="E259" t="s">
        <v>18</v>
      </c>
      <c r="F259" t="s">
        <v>24</v>
      </c>
      <c r="G259" t="s">
        <v>29</v>
      </c>
      <c r="H259" t="s">
        <v>26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Q259">
        <v>61.6</v>
      </c>
    </row>
    <row r="260" spans="1:17">
      <c r="A260" t="s">
        <v>290</v>
      </c>
      <c r="B260">
        <f>COUNTIF($A$2:A260,A260)</f>
        <v>1</v>
      </c>
      <c r="C260" s="2">
        <v>45685</v>
      </c>
      <c r="D260" t="s">
        <v>17</v>
      </c>
      <c r="E260" t="s">
        <v>28</v>
      </c>
      <c r="F260" t="s">
        <v>19</v>
      </c>
      <c r="G260" t="s">
        <v>25</v>
      </c>
      <c r="H260" t="s">
        <v>26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Q260">
        <v>43.2</v>
      </c>
    </row>
    <row r="261" spans="1:17">
      <c r="A261" t="s">
        <v>291</v>
      </c>
      <c r="B261">
        <f>COUNTIF($A$2:A261,A261)</f>
        <v>1</v>
      </c>
      <c r="C261" s="2">
        <v>45732</v>
      </c>
      <c r="D261" t="s">
        <v>17</v>
      </c>
      <c r="E261" t="s">
        <v>28</v>
      </c>
      <c r="F261" t="s">
        <v>19</v>
      </c>
      <c r="G261" t="s">
        <v>29</v>
      </c>
      <c r="H261" t="s">
        <v>21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Q261">
        <v>53.3</v>
      </c>
    </row>
    <row r="262" spans="1:17">
      <c r="A262" t="s">
        <v>292</v>
      </c>
      <c r="B262">
        <f>COUNTIF($A$2:A262,A262)</f>
        <v>1</v>
      </c>
      <c r="C262" s="2">
        <v>45757</v>
      </c>
      <c r="D262" t="s">
        <v>17</v>
      </c>
      <c r="E262" t="s">
        <v>28</v>
      </c>
      <c r="F262" t="s">
        <v>19</v>
      </c>
      <c r="G262" t="s">
        <v>41</v>
      </c>
      <c r="H262" t="s">
        <v>21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33.9</v>
      </c>
    </row>
    <row r="263" spans="1:17">
      <c r="A263" t="s">
        <v>293</v>
      </c>
      <c r="B263">
        <f>COUNTIF($A$2:A263,A263)</f>
        <v>1</v>
      </c>
      <c r="C263" s="2">
        <v>45731</v>
      </c>
      <c r="D263" t="s">
        <v>17</v>
      </c>
      <c r="E263" t="s">
        <v>28</v>
      </c>
      <c r="F263" t="s">
        <v>19</v>
      </c>
      <c r="G263" t="s">
        <v>39</v>
      </c>
      <c r="H263" t="s">
        <v>26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Q263">
        <v>35.4</v>
      </c>
    </row>
    <row r="264" spans="1:17">
      <c r="A264" t="s">
        <v>294</v>
      </c>
      <c r="B264">
        <f>COUNTIF($A$2:A264,A264)</f>
        <v>1</v>
      </c>
      <c r="C264" s="2">
        <v>45754</v>
      </c>
      <c r="D264" t="s">
        <v>17</v>
      </c>
      <c r="E264" t="s">
        <v>23</v>
      </c>
      <c r="F264" t="s">
        <v>19</v>
      </c>
      <c r="G264" t="s">
        <v>25</v>
      </c>
      <c r="H264" t="s">
        <v>21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Q264">
        <v>45</v>
      </c>
    </row>
    <row r="265" spans="1:17">
      <c r="A265" t="s">
        <v>295</v>
      </c>
      <c r="B265">
        <f>COUNTIF($A$2:A265,A265)</f>
        <v>1</v>
      </c>
      <c r="C265" s="2">
        <v>45700</v>
      </c>
      <c r="D265" t="s">
        <v>17</v>
      </c>
      <c r="E265" t="s">
        <v>32</v>
      </c>
      <c r="F265" t="s">
        <v>24</v>
      </c>
      <c r="G265" t="s">
        <v>25</v>
      </c>
      <c r="H265" t="s">
        <v>26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Q265">
        <v>86.5</v>
      </c>
    </row>
    <row r="266" spans="1:17">
      <c r="A266" t="s">
        <v>296</v>
      </c>
      <c r="B266">
        <f>COUNTIF($A$2:A266,A266)</f>
        <v>1</v>
      </c>
      <c r="C266" s="2">
        <v>45782</v>
      </c>
      <c r="D266" t="s">
        <v>17</v>
      </c>
      <c r="E266" t="s">
        <v>23</v>
      </c>
      <c r="F266" t="s">
        <v>24</v>
      </c>
      <c r="G266" t="s">
        <v>41</v>
      </c>
      <c r="H266" t="s">
        <v>26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58.1</v>
      </c>
    </row>
    <row r="267" spans="1:17">
      <c r="A267" t="s">
        <v>297</v>
      </c>
      <c r="B267">
        <f>COUNTIF($A$2:A267,A267)</f>
        <v>1</v>
      </c>
      <c r="C267" s="2">
        <v>45727</v>
      </c>
      <c r="D267" t="s">
        <v>17</v>
      </c>
      <c r="E267" t="s">
        <v>23</v>
      </c>
      <c r="F267" t="s">
        <v>24</v>
      </c>
      <c r="G267" t="s">
        <v>39</v>
      </c>
      <c r="H267" t="s">
        <v>26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36.1</v>
      </c>
    </row>
    <row r="268" spans="1:17">
      <c r="A268" t="s">
        <v>298</v>
      </c>
      <c r="B268">
        <f>COUNTIF($A$2:A268,A268)</f>
        <v>1</v>
      </c>
      <c r="C268" s="2">
        <v>45698</v>
      </c>
      <c r="D268" t="s">
        <v>17</v>
      </c>
      <c r="E268" t="s">
        <v>28</v>
      </c>
      <c r="F268" t="s">
        <v>24</v>
      </c>
      <c r="G268" t="s">
        <v>41</v>
      </c>
      <c r="H268" t="s">
        <v>26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Q268">
        <v>62.8</v>
      </c>
    </row>
    <row r="269" spans="1:17">
      <c r="A269" t="s">
        <v>299</v>
      </c>
      <c r="B269">
        <f>COUNTIF($A$2:A269,A269)</f>
        <v>1</v>
      </c>
      <c r="C269" s="2">
        <v>45753</v>
      </c>
      <c r="D269" t="s">
        <v>17</v>
      </c>
      <c r="E269" t="s">
        <v>32</v>
      </c>
      <c r="F269" t="s">
        <v>24</v>
      </c>
      <c r="G269" t="s">
        <v>25</v>
      </c>
      <c r="H269" t="s">
        <v>26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54.2</v>
      </c>
    </row>
    <row r="270" spans="1:17">
      <c r="A270" t="s">
        <v>300</v>
      </c>
      <c r="B270">
        <f>COUNTIF($A$2:A270,A270)</f>
        <v>1</v>
      </c>
      <c r="C270" s="2">
        <v>45663</v>
      </c>
      <c r="D270" t="s">
        <v>17</v>
      </c>
      <c r="E270" t="s">
        <v>28</v>
      </c>
      <c r="F270" t="s">
        <v>24</v>
      </c>
      <c r="G270" t="s">
        <v>39</v>
      </c>
      <c r="H270" t="s">
        <v>26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50</v>
      </c>
    </row>
    <row r="271" spans="1:17">
      <c r="A271" t="s">
        <v>301</v>
      </c>
      <c r="B271">
        <f>COUNTIF($A$2:A271,A271)</f>
        <v>1</v>
      </c>
      <c r="C271" s="2">
        <v>45741</v>
      </c>
      <c r="D271" t="s">
        <v>17</v>
      </c>
      <c r="E271" t="s">
        <v>28</v>
      </c>
      <c r="F271" t="s">
        <v>34</v>
      </c>
      <c r="G271" t="s">
        <v>29</v>
      </c>
      <c r="H271" t="s">
        <v>21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62</v>
      </c>
    </row>
    <row r="272" spans="1:17">
      <c r="A272" t="s">
        <v>302</v>
      </c>
      <c r="B272">
        <f>COUNTIF($A$2:A272,A272)</f>
        <v>1</v>
      </c>
      <c r="C272" s="2">
        <v>45701</v>
      </c>
      <c r="D272" t="s">
        <v>17</v>
      </c>
      <c r="E272" t="s">
        <v>28</v>
      </c>
      <c r="F272" t="s">
        <v>19</v>
      </c>
      <c r="G272" t="s">
        <v>39</v>
      </c>
      <c r="H272" t="s">
        <v>26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29.3</v>
      </c>
    </row>
    <row r="273" spans="1:17">
      <c r="A273" t="s">
        <v>303</v>
      </c>
      <c r="B273">
        <f>COUNTIF($A$2:A273,A273)</f>
        <v>1</v>
      </c>
      <c r="C273" s="2">
        <v>45733</v>
      </c>
      <c r="D273" t="s">
        <v>17</v>
      </c>
      <c r="E273" t="s">
        <v>23</v>
      </c>
      <c r="F273" t="s">
        <v>19</v>
      </c>
      <c r="G273" t="s">
        <v>25</v>
      </c>
      <c r="H273" t="s">
        <v>26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67.900000000000006</v>
      </c>
    </row>
    <row r="274" spans="1:17">
      <c r="A274" t="s">
        <v>304</v>
      </c>
      <c r="B274">
        <f>COUNTIF($A$2:A274,A274)</f>
        <v>1</v>
      </c>
      <c r="C274" s="2">
        <v>45787</v>
      </c>
      <c r="D274" t="s">
        <v>17</v>
      </c>
      <c r="E274" t="s">
        <v>18</v>
      </c>
      <c r="F274" t="s">
        <v>24</v>
      </c>
      <c r="G274" t="s">
        <v>39</v>
      </c>
      <c r="H274" t="s">
        <v>26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Q274">
        <v>67.599999999999994</v>
      </c>
    </row>
    <row r="275" spans="1:17">
      <c r="A275" t="s">
        <v>305</v>
      </c>
      <c r="B275">
        <f>COUNTIF($A$2:A275,A275)</f>
        <v>1</v>
      </c>
      <c r="C275" s="2">
        <v>45784</v>
      </c>
      <c r="D275" t="s">
        <v>17</v>
      </c>
      <c r="E275" t="s">
        <v>32</v>
      </c>
      <c r="F275" t="s">
        <v>24</v>
      </c>
      <c r="G275" t="s">
        <v>29</v>
      </c>
      <c r="H275" t="s">
        <v>21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67.400000000000006</v>
      </c>
    </row>
    <row r="276" spans="1:17">
      <c r="A276" t="s">
        <v>306</v>
      </c>
      <c r="B276">
        <f>COUNTIF($A$2:A276,A276)</f>
        <v>1</v>
      </c>
      <c r="C276" s="2">
        <v>45714</v>
      </c>
      <c r="D276" t="s">
        <v>17</v>
      </c>
      <c r="E276" t="s">
        <v>23</v>
      </c>
      <c r="F276" t="s">
        <v>19</v>
      </c>
      <c r="G276" t="s">
        <v>29</v>
      </c>
      <c r="H276" t="s">
        <v>30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0</v>
      </c>
      <c r="Q276">
        <v>53</v>
      </c>
    </row>
    <row r="277" spans="1:17">
      <c r="A277" t="s">
        <v>307</v>
      </c>
      <c r="B277">
        <f>COUNTIF($A$2:A277,A277)</f>
        <v>1</v>
      </c>
      <c r="C277" s="2">
        <v>45788</v>
      </c>
      <c r="D277" t="s">
        <v>17</v>
      </c>
      <c r="E277" t="s">
        <v>18</v>
      </c>
      <c r="F277" t="s">
        <v>24</v>
      </c>
      <c r="G277" t="s">
        <v>25</v>
      </c>
      <c r="H277" t="s">
        <v>21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65.5</v>
      </c>
    </row>
    <row r="278" spans="1:17">
      <c r="A278" t="s">
        <v>308</v>
      </c>
      <c r="B278">
        <f>COUNTIF($A$2:A278,A278)</f>
        <v>1</v>
      </c>
      <c r="C278" s="2">
        <v>45736</v>
      </c>
      <c r="D278" t="s">
        <v>17</v>
      </c>
      <c r="E278" t="s">
        <v>32</v>
      </c>
      <c r="F278" t="s">
        <v>24</v>
      </c>
      <c r="G278" t="s">
        <v>25</v>
      </c>
      <c r="H278" t="s">
        <v>21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49.6</v>
      </c>
    </row>
    <row r="279" spans="1:17">
      <c r="A279" t="s">
        <v>309</v>
      </c>
      <c r="B279">
        <f>COUNTIF($A$2:A279,A279)</f>
        <v>1</v>
      </c>
      <c r="C279" s="2">
        <v>45676</v>
      </c>
      <c r="D279" t="s">
        <v>17</v>
      </c>
      <c r="E279" t="s">
        <v>18</v>
      </c>
      <c r="F279" t="s">
        <v>24</v>
      </c>
      <c r="G279" t="s">
        <v>20</v>
      </c>
      <c r="H279" t="s">
        <v>26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74.5</v>
      </c>
    </row>
    <row r="280" spans="1:17">
      <c r="A280" t="s">
        <v>310</v>
      </c>
      <c r="B280">
        <f>COUNTIF($A$2:A280,A280)</f>
        <v>1</v>
      </c>
      <c r="C280" s="2">
        <v>45724</v>
      </c>
      <c r="D280" t="s">
        <v>17</v>
      </c>
      <c r="E280" t="s">
        <v>18</v>
      </c>
      <c r="F280" t="s">
        <v>34</v>
      </c>
      <c r="G280" t="s">
        <v>29</v>
      </c>
      <c r="H280" t="s">
        <v>30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Q280">
        <v>46.9</v>
      </c>
    </row>
    <row r="281" spans="1:17">
      <c r="A281" t="s">
        <v>311</v>
      </c>
      <c r="B281">
        <f>COUNTIF($A$2:A281,A281)</f>
        <v>1</v>
      </c>
      <c r="C281" s="2">
        <v>45772</v>
      </c>
      <c r="D281" t="s">
        <v>17</v>
      </c>
      <c r="E281" t="s">
        <v>18</v>
      </c>
      <c r="F281" t="s">
        <v>24</v>
      </c>
      <c r="G281" t="s">
        <v>25</v>
      </c>
      <c r="H281" t="s">
        <v>26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Q281">
        <v>87.1</v>
      </c>
    </row>
    <row r="282" spans="1:17">
      <c r="A282" t="s">
        <v>312</v>
      </c>
      <c r="B282">
        <f>COUNTIF($A$2:A282,A282)</f>
        <v>1</v>
      </c>
      <c r="C282" s="2">
        <v>45751</v>
      </c>
      <c r="D282" t="s">
        <v>17</v>
      </c>
      <c r="E282" t="s">
        <v>18</v>
      </c>
      <c r="F282" t="s">
        <v>19</v>
      </c>
      <c r="G282" t="s">
        <v>25</v>
      </c>
      <c r="H282" t="s">
        <v>26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56</v>
      </c>
    </row>
    <row r="283" spans="1:17">
      <c r="A283" t="s">
        <v>313</v>
      </c>
      <c r="B283">
        <f>COUNTIF($A$2:A283,A283)</f>
        <v>1</v>
      </c>
      <c r="C283" s="2">
        <v>45778</v>
      </c>
      <c r="D283" t="s">
        <v>17</v>
      </c>
      <c r="E283" t="s">
        <v>28</v>
      </c>
      <c r="F283" t="s">
        <v>24</v>
      </c>
      <c r="G283" t="s">
        <v>29</v>
      </c>
      <c r="H283" t="s">
        <v>30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Q283">
        <v>61.7</v>
      </c>
    </row>
    <row r="284" spans="1:17">
      <c r="A284" t="s">
        <v>314</v>
      </c>
      <c r="B284">
        <f>COUNTIF($A$2:A284,A284)</f>
        <v>1</v>
      </c>
      <c r="C284" s="2">
        <v>45678</v>
      </c>
      <c r="D284" t="s">
        <v>17</v>
      </c>
      <c r="E284" t="s">
        <v>32</v>
      </c>
      <c r="F284" t="s">
        <v>24</v>
      </c>
      <c r="G284" t="s">
        <v>41</v>
      </c>
      <c r="H284" t="s">
        <v>26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Q284">
        <v>70.5</v>
      </c>
    </row>
    <row r="285" spans="1:17">
      <c r="A285" t="s">
        <v>315</v>
      </c>
      <c r="B285">
        <f>COUNTIF($A$2:A285,A285)</f>
        <v>1</v>
      </c>
      <c r="C285" s="2">
        <v>45698</v>
      </c>
      <c r="D285" t="s">
        <v>17</v>
      </c>
      <c r="E285" t="s">
        <v>18</v>
      </c>
      <c r="F285" t="s">
        <v>19</v>
      </c>
      <c r="G285" t="s">
        <v>39</v>
      </c>
      <c r="H285" t="s">
        <v>21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Q285">
        <v>33.4</v>
      </c>
    </row>
    <row r="286" spans="1:17">
      <c r="A286" t="s">
        <v>316</v>
      </c>
      <c r="B286">
        <f>COUNTIF($A$2:A286,A286)</f>
        <v>1</v>
      </c>
      <c r="C286" s="2">
        <v>45783</v>
      </c>
      <c r="D286" t="s">
        <v>17</v>
      </c>
      <c r="E286" t="s">
        <v>32</v>
      </c>
      <c r="F286" t="s">
        <v>19</v>
      </c>
      <c r="G286" t="s">
        <v>25</v>
      </c>
      <c r="H286" t="s">
        <v>26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Q286">
        <v>57.5</v>
      </c>
    </row>
    <row r="287" spans="1:17">
      <c r="A287" t="s">
        <v>317</v>
      </c>
      <c r="B287">
        <f>COUNTIF($A$2:A287,A287)</f>
        <v>1</v>
      </c>
      <c r="C287" s="2">
        <v>45696</v>
      </c>
      <c r="D287" t="s">
        <v>17</v>
      </c>
      <c r="E287" t="s">
        <v>18</v>
      </c>
      <c r="F287" t="s">
        <v>19</v>
      </c>
      <c r="G287" t="s">
        <v>29</v>
      </c>
      <c r="H287" t="s">
        <v>21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Q287">
        <v>85.7</v>
      </c>
    </row>
    <row r="288" spans="1:17">
      <c r="A288" t="s">
        <v>318</v>
      </c>
      <c r="B288">
        <f>COUNTIF($A$2:A288,A288)</f>
        <v>1</v>
      </c>
      <c r="C288" s="2">
        <v>45808</v>
      </c>
      <c r="D288" t="s">
        <v>17</v>
      </c>
      <c r="E288" t="s">
        <v>28</v>
      </c>
      <c r="F288" t="s">
        <v>24</v>
      </c>
      <c r="G288" t="s">
        <v>41</v>
      </c>
      <c r="H288" t="s">
        <v>26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Q288">
        <v>41.9</v>
      </c>
    </row>
    <row r="289" spans="1:17">
      <c r="A289" t="s">
        <v>319</v>
      </c>
      <c r="B289">
        <f>COUNTIF($A$2:A289,A289)</f>
        <v>1</v>
      </c>
      <c r="C289" s="2">
        <v>45695</v>
      </c>
      <c r="D289" t="s">
        <v>17</v>
      </c>
      <c r="E289" t="s">
        <v>23</v>
      </c>
      <c r="F289" t="s">
        <v>24</v>
      </c>
      <c r="G289" t="s">
        <v>20</v>
      </c>
      <c r="H289" t="s">
        <v>21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Q289">
        <v>70.2</v>
      </c>
    </row>
    <row r="290" spans="1:17">
      <c r="A290" t="s">
        <v>320</v>
      </c>
      <c r="B290">
        <f>COUNTIF($A$2:A290,A290)</f>
        <v>1</v>
      </c>
      <c r="C290" s="2">
        <v>45698</v>
      </c>
      <c r="D290" t="s">
        <v>17</v>
      </c>
      <c r="E290" t="s">
        <v>18</v>
      </c>
      <c r="F290" t="s">
        <v>24</v>
      </c>
      <c r="G290" t="s">
        <v>41</v>
      </c>
      <c r="H290" t="s">
        <v>26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42.6</v>
      </c>
    </row>
    <row r="291" spans="1:17">
      <c r="A291" t="s">
        <v>321</v>
      </c>
      <c r="B291">
        <f>COUNTIF($A$2:A291,A291)</f>
        <v>1</v>
      </c>
      <c r="C291" s="2">
        <v>45688</v>
      </c>
      <c r="D291" t="s">
        <v>17</v>
      </c>
      <c r="E291" t="s">
        <v>23</v>
      </c>
      <c r="F291" t="s">
        <v>24</v>
      </c>
      <c r="G291" t="s">
        <v>41</v>
      </c>
      <c r="H291" t="s">
        <v>21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  <c r="Q291">
        <v>30.4</v>
      </c>
    </row>
    <row r="292" spans="1:17">
      <c r="A292" t="s">
        <v>322</v>
      </c>
      <c r="B292">
        <f>COUNTIF($A$2:A292,A292)</f>
        <v>1</v>
      </c>
      <c r="C292" s="2">
        <v>45732</v>
      </c>
      <c r="D292" t="s">
        <v>17</v>
      </c>
      <c r="E292" t="s">
        <v>28</v>
      </c>
      <c r="F292" t="s">
        <v>24</v>
      </c>
      <c r="G292" t="s">
        <v>29</v>
      </c>
      <c r="H292" t="s">
        <v>21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63.7</v>
      </c>
    </row>
    <row r="293" spans="1:17">
      <c r="A293" t="s">
        <v>323</v>
      </c>
      <c r="B293">
        <f>COUNTIF($A$2:A293,A293)</f>
        <v>1</v>
      </c>
      <c r="C293" s="2">
        <v>45771</v>
      </c>
      <c r="D293" t="s">
        <v>17</v>
      </c>
      <c r="E293" t="s">
        <v>32</v>
      </c>
      <c r="F293" t="s">
        <v>24</v>
      </c>
      <c r="G293" t="s">
        <v>41</v>
      </c>
      <c r="H293" t="s">
        <v>21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Q293">
        <v>42.7</v>
      </c>
    </row>
    <row r="294" spans="1:17">
      <c r="A294" t="s">
        <v>324</v>
      </c>
      <c r="B294">
        <f>COUNTIF($A$2:A294,A294)</f>
        <v>1</v>
      </c>
      <c r="C294" s="2">
        <v>45685</v>
      </c>
      <c r="D294" t="s">
        <v>17</v>
      </c>
      <c r="E294" t="s">
        <v>18</v>
      </c>
      <c r="F294" t="s">
        <v>24</v>
      </c>
      <c r="G294" t="s">
        <v>25</v>
      </c>
      <c r="H294" t="s">
        <v>26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Q294">
        <v>74.3</v>
      </c>
    </row>
    <row r="295" spans="1:17">
      <c r="A295" t="s">
        <v>325</v>
      </c>
      <c r="B295">
        <f>COUNTIF($A$2:A295,A295)</f>
        <v>1</v>
      </c>
      <c r="C295" s="2">
        <v>45704</v>
      </c>
      <c r="D295" t="s">
        <v>17</v>
      </c>
      <c r="E295" t="s">
        <v>23</v>
      </c>
      <c r="F295" t="s">
        <v>19</v>
      </c>
      <c r="G295" t="s">
        <v>20</v>
      </c>
      <c r="H295" t="s">
        <v>26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Q295">
        <v>40.6</v>
      </c>
    </row>
    <row r="296" spans="1:17">
      <c r="A296" t="s">
        <v>326</v>
      </c>
      <c r="B296">
        <f>COUNTIF($A$2:A296,A296)</f>
        <v>1</v>
      </c>
      <c r="C296" s="2">
        <v>45739</v>
      </c>
      <c r="D296" t="s">
        <v>17</v>
      </c>
      <c r="E296" t="s">
        <v>28</v>
      </c>
      <c r="F296" t="s">
        <v>24</v>
      </c>
      <c r="G296" t="s">
        <v>25</v>
      </c>
      <c r="H296" t="s">
        <v>30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Q296">
        <v>67</v>
      </c>
    </row>
    <row r="297" spans="1:17">
      <c r="A297" t="s">
        <v>327</v>
      </c>
      <c r="B297">
        <f>COUNTIF($A$2:A297,A297)</f>
        <v>1</v>
      </c>
      <c r="C297" s="2">
        <v>45808</v>
      </c>
      <c r="D297" t="s">
        <v>17</v>
      </c>
      <c r="E297" t="s">
        <v>28</v>
      </c>
      <c r="F297" t="s">
        <v>24</v>
      </c>
      <c r="G297" t="s">
        <v>29</v>
      </c>
      <c r="H297" t="s">
        <v>30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51</v>
      </c>
    </row>
    <row r="298" spans="1:17">
      <c r="A298" t="s">
        <v>328</v>
      </c>
      <c r="B298">
        <f>COUNTIF($A$2:A298,A298)</f>
        <v>1</v>
      </c>
      <c r="C298" s="2">
        <v>45760</v>
      </c>
      <c r="D298" t="s">
        <v>17</v>
      </c>
      <c r="E298" t="s">
        <v>23</v>
      </c>
      <c r="F298" t="s">
        <v>24</v>
      </c>
      <c r="G298" t="s">
        <v>41</v>
      </c>
      <c r="H298" t="s">
        <v>21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0</v>
      </c>
      <c r="Q298">
        <v>54.8</v>
      </c>
    </row>
    <row r="299" spans="1:17">
      <c r="A299" t="s">
        <v>329</v>
      </c>
      <c r="B299">
        <f>COUNTIF($A$2:A299,A299)</f>
        <v>1</v>
      </c>
      <c r="C299" s="2">
        <v>45791</v>
      </c>
      <c r="D299" t="s">
        <v>17</v>
      </c>
      <c r="E299" t="s">
        <v>18</v>
      </c>
      <c r="F299" t="s">
        <v>34</v>
      </c>
      <c r="G299" t="s">
        <v>20</v>
      </c>
      <c r="H299" t="s">
        <v>21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40.799999999999997</v>
      </c>
    </row>
    <row r="300" spans="1:17">
      <c r="A300" t="s">
        <v>330</v>
      </c>
      <c r="B300">
        <f>COUNTIF($A$2:A300,A300)</f>
        <v>1</v>
      </c>
      <c r="C300" s="2">
        <v>45707</v>
      </c>
      <c r="D300" t="s">
        <v>17</v>
      </c>
      <c r="E300" t="s">
        <v>28</v>
      </c>
      <c r="F300" t="s">
        <v>24</v>
      </c>
      <c r="G300" t="s">
        <v>29</v>
      </c>
      <c r="H300" t="s">
        <v>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Q300">
        <v>48.8</v>
      </c>
    </row>
    <row r="301" spans="1:17">
      <c r="A301" t="s">
        <v>331</v>
      </c>
      <c r="B301">
        <f>COUNTIF($A$2:A301,A301)</f>
        <v>1</v>
      </c>
      <c r="C301" s="2">
        <v>45681</v>
      </c>
      <c r="D301" t="s">
        <v>17</v>
      </c>
      <c r="E301" t="s">
        <v>32</v>
      </c>
      <c r="F301" t="s">
        <v>24</v>
      </c>
      <c r="H301" t="s">
        <v>21</v>
      </c>
      <c r="I301">
        <v>1</v>
      </c>
      <c r="J301">
        <v>1</v>
      </c>
      <c r="K301">
        <v>1</v>
      </c>
      <c r="L301">
        <v>1</v>
      </c>
      <c r="M301">
        <v>1198.69</v>
      </c>
      <c r="N301">
        <v>1</v>
      </c>
      <c r="O301">
        <v>0</v>
      </c>
      <c r="P301">
        <v>6</v>
      </c>
      <c r="Q301">
        <v>88.9</v>
      </c>
    </row>
    <row r="302" spans="1:17">
      <c r="A302" t="s">
        <v>332</v>
      </c>
      <c r="B302">
        <f>COUNTIF($A$2:A302,A302)</f>
        <v>1</v>
      </c>
      <c r="C302" s="2">
        <v>45786</v>
      </c>
      <c r="D302" t="s">
        <v>17</v>
      </c>
      <c r="E302" t="s">
        <v>18</v>
      </c>
      <c r="F302" t="s">
        <v>24</v>
      </c>
      <c r="G302" t="s">
        <v>20</v>
      </c>
      <c r="H302" t="s">
        <v>21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1</v>
      </c>
      <c r="O302">
        <v>0</v>
      </c>
      <c r="Q302">
        <v>60.5</v>
      </c>
    </row>
    <row r="303" spans="1:17">
      <c r="A303" t="s">
        <v>333</v>
      </c>
      <c r="B303">
        <f>COUNTIF($A$2:A303,A303)</f>
        <v>1</v>
      </c>
      <c r="C303" s="2">
        <v>45699</v>
      </c>
      <c r="D303" t="s">
        <v>17</v>
      </c>
      <c r="E303" t="s">
        <v>18</v>
      </c>
      <c r="F303" t="s">
        <v>24</v>
      </c>
      <c r="G303" t="s">
        <v>25</v>
      </c>
      <c r="H303" t="s">
        <v>21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Q303">
        <v>63.6</v>
      </c>
    </row>
    <row r="304" spans="1:17">
      <c r="A304" t="s">
        <v>334</v>
      </c>
      <c r="B304">
        <f>COUNTIF($A$2:A304,A304)</f>
        <v>1</v>
      </c>
      <c r="C304" s="2">
        <v>45714</v>
      </c>
      <c r="D304" t="s">
        <v>17</v>
      </c>
      <c r="E304" t="s">
        <v>18</v>
      </c>
      <c r="F304" t="s">
        <v>19</v>
      </c>
      <c r="G304" t="s">
        <v>25</v>
      </c>
      <c r="H304" t="s">
        <v>21</v>
      </c>
      <c r="I304">
        <v>1</v>
      </c>
      <c r="J304">
        <v>1</v>
      </c>
      <c r="K304">
        <v>1</v>
      </c>
      <c r="L304">
        <v>1</v>
      </c>
      <c r="M304">
        <v>6788.95</v>
      </c>
      <c r="N304">
        <v>0</v>
      </c>
      <c r="O304">
        <v>0</v>
      </c>
      <c r="P304">
        <v>17</v>
      </c>
      <c r="Q304">
        <v>58.4</v>
      </c>
    </row>
    <row r="305" spans="1:17">
      <c r="A305" t="s">
        <v>335</v>
      </c>
      <c r="B305">
        <f>COUNTIF($A$2:A305,A305)</f>
        <v>1</v>
      </c>
      <c r="C305" s="2">
        <v>45700</v>
      </c>
      <c r="D305" t="s">
        <v>17</v>
      </c>
      <c r="E305" t="s">
        <v>32</v>
      </c>
      <c r="F305" t="s">
        <v>24</v>
      </c>
      <c r="G305" t="s">
        <v>41</v>
      </c>
      <c r="H305" t="s">
        <v>30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Q305">
        <v>52.7</v>
      </c>
    </row>
    <row r="306" spans="1:17">
      <c r="A306" t="s">
        <v>336</v>
      </c>
      <c r="B306">
        <f>COUNTIF($A$2:A306,A306)</f>
        <v>1</v>
      </c>
      <c r="C306" s="2">
        <v>45662</v>
      </c>
      <c r="D306" t="s">
        <v>17</v>
      </c>
      <c r="E306" t="s">
        <v>32</v>
      </c>
      <c r="F306" t="s">
        <v>34</v>
      </c>
      <c r="G306" t="s">
        <v>41</v>
      </c>
      <c r="H306" t="s">
        <v>30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2</v>
      </c>
      <c r="O306">
        <v>0</v>
      </c>
      <c r="Q306">
        <v>48.9</v>
      </c>
    </row>
    <row r="307" spans="1:17">
      <c r="A307" t="s">
        <v>337</v>
      </c>
      <c r="B307">
        <f>COUNTIF($A$2:A307,A307)</f>
        <v>1</v>
      </c>
      <c r="C307" s="2">
        <v>45796</v>
      </c>
      <c r="D307" t="s">
        <v>17</v>
      </c>
      <c r="E307" t="s">
        <v>23</v>
      </c>
      <c r="F307" t="s">
        <v>24</v>
      </c>
      <c r="G307" t="s">
        <v>25</v>
      </c>
      <c r="H307" t="s">
        <v>30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Q307">
        <v>79.7</v>
      </c>
    </row>
    <row r="308" spans="1:17">
      <c r="A308" t="s">
        <v>338</v>
      </c>
      <c r="B308">
        <f>COUNTIF($A$2:A308,A308)</f>
        <v>1</v>
      </c>
      <c r="C308" s="2">
        <v>45690</v>
      </c>
      <c r="D308" t="s">
        <v>17</v>
      </c>
      <c r="E308" t="s">
        <v>18</v>
      </c>
      <c r="F308" t="s">
        <v>24</v>
      </c>
      <c r="G308" t="s">
        <v>41</v>
      </c>
      <c r="H308" t="s">
        <v>26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Q308">
        <v>44.9</v>
      </c>
    </row>
    <row r="309" spans="1:17">
      <c r="A309" t="s">
        <v>339</v>
      </c>
      <c r="B309">
        <f>COUNTIF($A$2:A309,A309)</f>
        <v>1</v>
      </c>
      <c r="C309" s="2">
        <v>45687</v>
      </c>
      <c r="D309" t="s">
        <v>17</v>
      </c>
      <c r="E309" t="s">
        <v>23</v>
      </c>
      <c r="F309" t="s">
        <v>34</v>
      </c>
      <c r="G309" t="s">
        <v>29</v>
      </c>
      <c r="H309" t="s">
        <v>26</v>
      </c>
      <c r="I309">
        <v>1</v>
      </c>
      <c r="J309">
        <v>1</v>
      </c>
      <c r="K309">
        <v>1</v>
      </c>
      <c r="L309">
        <v>1</v>
      </c>
      <c r="M309">
        <v>409.39</v>
      </c>
      <c r="N309">
        <v>0</v>
      </c>
      <c r="O309">
        <v>0</v>
      </c>
      <c r="P309">
        <v>10</v>
      </c>
      <c r="Q309">
        <v>38.799999999999997</v>
      </c>
    </row>
    <row r="310" spans="1:17">
      <c r="A310" t="s">
        <v>340</v>
      </c>
      <c r="B310">
        <f>COUNTIF($A$2:A310,A310)</f>
        <v>1</v>
      </c>
      <c r="C310" s="2">
        <v>45778</v>
      </c>
      <c r="D310" t="s">
        <v>17</v>
      </c>
      <c r="E310" t="s">
        <v>32</v>
      </c>
      <c r="F310" t="s">
        <v>19</v>
      </c>
      <c r="G310" t="s">
        <v>20</v>
      </c>
      <c r="H310" t="s">
        <v>26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Q310">
        <v>70</v>
      </c>
    </row>
    <row r="311" spans="1:17">
      <c r="A311" t="s">
        <v>341</v>
      </c>
      <c r="B311">
        <f>COUNTIF($A$2:A311,A311)</f>
        <v>1</v>
      </c>
      <c r="C311" s="2">
        <v>45793</v>
      </c>
      <c r="D311" t="s">
        <v>17</v>
      </c>
      <c r="E311" t="s">
        <v>32</v>
      </c>
      <c r="F311" t="s">
        <v>19</v>
      </c>
      <c r="G311" t="s">
        <v>39</v>
      </c>
      <c r="H311" t="s">
        <v>21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77.7</v>
      </c>
    </row>
    <row r="312" spans="1:17">
      <c r="A312" t="s">
        <v>342</v>
      </c>
      <c r="B312">
        <f>COUNTIF($A$2:A312,A312)</f>
        <v>1</v>
      </c>
      <c r="C312" s="2">
        <v>45724</v>
      </c>
      <c r="D312" t="s">
        <v>17</v>
      </c>
      <c r="E312" t="s">
        <v>23</v>
      </c>
      <c r="F312" t="s">
        <v>24</v>
      </c>
      <c r="G312" t="s">
        <v>25</v>
      </c>
      <c r="H312" t="s">
        <v>26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Q312">
        <v>71.2</v>
      </c>
    </row>
    <row r="313" spans="1:17">
      <c r="A313" t="s">
        <v>343</v>
      </c>
      <c r="B313">
        <f>COUNTIF($A$2:A313,A313)</f>
        <v>1</v>
      </c>
      <c r="C313" s="2">
        <v>45751</v>
      </c>
      <c r="D313" t="s">
        <v>17</v>
      </c>
      <c r="E313" t="s">
        <v>18</v>
      </c>
      <c r="F313" t="s">
        <v>24</v>
      </c>
      <c r="G313" t="s">
        <v>25</v>
      </c>
      <c r="H313" t="s">
        <v>21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Q313">
        <v>43.8</v>
      </c>
    </row>
    <row r="314" spans="1:17">
      <c r="A314" t="s">
        <v>344</v>
      </c>
      <c r="B314">
        <f>COUNTIF($A$2:A314,A314)</f>
        <v>1</v>
      </c>
      <c r="C314" s="2">
        <v>45807</v>
      </c>
      <c r="D314" t="s">
        <v>17</v>
      </c>
      <c r="E314" t="s">
        <v>32</v>
      </c>
      <c r="F314" t="s">
        <v>34</v>
      </c>
      <c r="G314" t="s">
        <v>25</v>
      </c>
      <c r="H314" t="s">
        <v>26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Q314">
        <v>50.9</v>
      </c>
    </row>
    <row r="315" spans="1:17">
      <c r="A315" t="s">
        <v>345</v>
      </c>
      <c r="B315">
        <f>COUNTIF($A$2:A315,A315)</f>
        <v>1</v>
      </c>
      <c r="C315" s="2">
        <v>45662</v>
      </c>
      <c r="D315" t="s">
        <v>17</v>
      </c>
      <c r="E315" t="s">
        <v>23</v>
      </c>
      <c r="F315" t="s">
        <v>24</v>
      </c>
      <c r="G315" t="s">
        <v>25</v>
      </c>
      <c r="H315" t="s">
        <v>30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Q315">
        <v>58.5</v>
      </c>
    </row>
    <row r="316" spans="1:17">
      <c r="A316" t="s">
        <v>346</v>
      </c>
      <c r="B316">
        <f>COUNTIF($A$2:A316,A316)</f>
        <v>1</v>
      </c>
      <c r="C316" s="2">
        <v>45677</v>
      </c>
      <c r="D316" t="s">
        <v>17</v>
      </c>
      <c r="E316" t="s">
        <v>28</v>
      </c>
      <c r="F316" t="s">
        <v>24</v>
      </c>
      <c r="G316" t="s">
        <v>25</v>
      </c>
      <c r="H316" t="s">
        <v>26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Q316">
        <v>53.6</v>
      </c>
    </row>
    <row r="317" spans="1:17">
      <c r="A317" t="s">
        <v>347</v>
      </c>
      <c r="B317">
        <f>COUNTIF($A$2:A317,A317)</f>
        <v>1</v>
      </c>
      <c r="C317" s="2">
        <v>45778</v>
      </c>
      <c r="D317" t="s">
        <v>17</v>
      </c>
      <c r="E317" t="s">
        <v>28</v>
      </c>
      <c r="F317" t="s">
        <v>24</v>
      </c>
      <c r="G317" t="s">
        <v>20</v>
      </c>
      <c r="H317" t="s">
        <v>26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Q317">
        <v>54.9</v>
      </c>
    </row>
    <row r="318" spans="1:17">
      <c r="A318" t="s">
        <v>348</v>
      </c>
      <c r="B318">
        <f>COUNTIF($A$2:A318,A318)</f>
        <v>1</v>
      </c>
      <c r="C318" s="2">
        <v>45721</v>
      </c>
      <c r="D318" t="s">
        <v>17</v>
      </c>
      <c r="E318" t="s">
        <v>18</v>
      </c>
      <c r="F318" t="s">
        <v>19</v>
      </c>
      <c r="G318" t="s">
        <v>25</v>
      </c>
      <c r="H318" t="s">
        <v>30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Q318">
        <v>57.3</v>
      </c>
    </row>
    <row r="319" spans="1:17">
      <c r="A319" t="s">
        <v>349</v>
      </c>
      <c r="B319">
        <f>COUNTIF($A$2:A319,A319)</f>
        <v>1</v>
      </c>
      <c r="C319" s="2">
        <v>45748</v>
      </c>
      <c r="D319" t="s">
        <v>17</v>
      </c>
      <c r="E319" t="s">
        <v>28</v>
      </c>
      <c r="F319" t="s">
        <v>19</v>
      </c>
      <c r="G319" t="s">
        <v>39</v>
      </c>
      <c r="H319" t="s">
        <v>26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Q319">
        <v>52.1</v>
      </c>
    </row>
    <row r="320" spans="1:17">
      <c r="A320" t="s">
        <v>350</v>
      </c>
      <c r="B320">
        <f>COUNTIF($A$2:A320,A320)</f>
        <v>1</v>
      </c>
      <c r="C320" s="2">
        <v>45780</v>
      </c>
      <c r="D320" t="s">
        <v>17</v>
      </c>
      <c r="E320" t="s">
        <v>18</v>
      </c>
      <c r="F320" t="s">
        <v>24</v>
      </c>
      <c r="G320" t="s">
        <v>25</v>
      </c>
      <c r="H320" t="s">
        <v>26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Q320">
        <v>80</v>
      </c>
    </row>
    <row r="321" spans="1:17">
      <c r="A321" t="s">
        <v>351</v>
      </c>
      <c r="B321">
        <f>COUNTIF($A$2:A321,A321)</f>
        <v>1</v>
      </c>
      <c r="C321" s="2">
        <v>45722</v>
      </c>
      <c r="D321" t="s">
        <v>17</v>
      </c>
      <c r="E321" t="s">
        <v>32</v>
      </c>
      <c r="F321" t="s">
        <v>19</v>
      </c>
      <c r="G321" t="s">
        <v>29</v>
      </c>
      <c r="H321" t="s">
        <v>30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Q321">
        <v>39.299999999999997</v>
      </c>
    </row>
    <row r="322" spans="1:17">
      <c r="A322" t="s">
        <v>352</v>
      </c>
      <c r="B322">
        <f>COUNTIF($A$2:A322,A322)</f>
        <v>1</v>
      </c>
      <c r="C322" s="2">
        <v>45748</v>
      </c>
      <c r="D322" t="s">
        <v>17</v>
      </c>
      <c r="E322" t="s">
        <v>18</v>
      </c>
      <c r="F322" t="s">
        <v>19</v>
      </c>
      <c r="G322" t="s">
        <v>39</v>
      </c>
      <c r="H322" t="s">
        <v>30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Q322">
        <v>45.7</v>
      </c>
    </row>
    <row r="323" spans="1:17">
      <c r="A323" t="s">
        <v>353</v>
      </c>
      <c r="B323">
        <f>COUNTIF($A$2:A323,A323)</f>
        <v>1</v>
      </c>
      <c r="C323" s="2">
        <v>45697</v>
      </c>
      <c r="D323" t="s">
        <v>17</v>
      </c>
      <c r="E323" t="s">
        <v>18</v>
      </c>
      <c r="F323" t="s">
        <v>19</v>
      </c>
      <c r="G323" t="s">
        <v>41</v>
      </c>
      <c r="H323" t="s">
        <v>21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0</v>
      </c>
      <c r="Q323">
        <v>61.2</v>
      </c>
    </row>
    <row r="324" spans="1:17">
      <c r="A324" t="s">
        <v>354</v>
      </c>
      <c r="B324">
        <f>COUNTIF($A$2:A324,A324)</f>
        <v>1</v>
      </c>
      <c r="C324" s="2">
        <v>45759</v>
      </c>
      <c r="D324" t="s">
        <v>17</v>
      </c>
      <c r="E324" t="s">
        <v>23</v>
      </c>
      <c r="F324" t="s">
        <v>24</v>
      </c>
      <c r="G324" t="s">
        <v>25</v>
      </c>
      <c r="H324" t="s">
        <v>21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Q324">
        <v>66.2</v>
      </c>
    </row>
    <row r="325" spans="1:17">
      <c r="A325" t="s">
        <v>355</v>
      </c>
      <c r="B325">
        <f>COUNTIF($A$2:A325,A325)</f>
        <v>1</v>
      </c>
      <c r="C325" s="2">
        <v>45734</v>
      </c>
      <c r="D325" t="s">
        <v>17</v>
      </c>
      <c r="E325" t="s">
        <v>28</v>
      </c>
      <c r="F325" t="s">
        <v>24</v>
      </c>
      <c r="G325" t="s">
        <v>41</v>
      </c>
      <c r="H325" t="s">
        <v>26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Q325">
        <v>61.3</v>
      </c>
    </row>
    <row r="326" spans="1:17">
      <c r="A326" t="s">
        <v>356</v>
      </c>
      <c r="B326">
        <f>COUNTIF($A$2:A326,A326)</f>
        <v>1</v>
      </c>
      <c r="C326" s="2">
        <v>45750</v>
      </c>
      <c r="D326" t="s">
        <v>17</v>
      </c>
      <c r="E326" t="s">
        <v>28</v>
      </c>
      <c r="F326" t="s">
        <v>24</v>
      </c>
      <c r="G326" t="s">
        <v>29</v>
      </c>
      <c r="H326" t="s">
        <v>26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Q326">
        <v>72.2</v>
      </c>
    </row>
    <row r="327" spans="1:17">
      <c r="A327" t="s">
        <v>357</v>
      </c>
      <c r="B327">
        <f>COUNTIF($A$2:A327,A327)</f>
        <v>1</v>
      </c>
      <c r="C327" s="2">
        <v>45749</v>
      </c>
      <c r="D327" t="s">
        <v>17</v>
      </c>
      <c r="E327" t="s">
        <v>23</v>
      </c>
      <c r="F327" t="s">
        <v>24</v>
      </c>
      <c r="G327" t="s">
        <v>20</v>
      </c>
      <c r="H327" t="s">
        <v>30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Q327">
        <v>84</v>
      </c>
    </row>
    <row r="328" spans="1:17">
      <c r="A328" t="s">
        <v>358</v>
      </c>
      <c r="B328">
        <f>COUNTIF($A$2:A328,A328)</f>
        <v>1</v>
      </c>
      <c r="C328" s="2">
        <v>45787</v>
      </c>
      <c r="D328" t="s">
        <v>17</v>
      </c>
      <c r="E328" t="s">
        <v>23</v>
      </c>
      <c r="F328" t="s">
        <v>19</v>
      </c>
      <c r="G328" t="s">
        <v>20</v>
      </c>
      <c r="H328" t="s">
        <v>21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Q328">
        <v>59.8</v>
      </c>
    </row>
    <row r="329" spans="1:17">
      <c r="A329" t="s">
        <v>359</v>
      </c>
      <c r="B329">
        <f>COUNTIF($A$2:A329,A329)</f>
        <v>1</v>
      </c>
      <c r="C329" s="2">
        <v>45776</v>
      </c>
      <c r="D329" t="s">
        <v>17</v>
      </c>
      <c r="E329" t="s">
        <v>23</v>
      </c>
      <c r="F329" t="s">
        <v>19</v>
      </c>
      <c r="G329" t="s">
        <v>29</v>
      </c>
      <c r="H329" t="s">
        <v>26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Q329">
        <v>64.900000000000006</v>
      </c>
    </row>
    <row r="330" spans="1:17">
      <c r="A330" t="s">
        <v>360</v>
      </c>
      <c r="B330">
        <f>COUNTIF($A$2:A330,A330)</f>
        <v>1</v>
      </c>
      <c r="C330" s="2">
        <v>45715</v>
      </c>
      <c r="D330" t="s">
        <v>17</v>
      </c>
      <c r="E330" t="s">
        <v>32</v>
      </c>
      <c r="F330" t="s">
        <v>24</v>
      </c>
      <c r="G330" t="s">
        <v>29</v>
      </c>
      <c r="H330" t="s">
        <v>26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Q330">
        <v>66.8</v>
      </c>
    </row>
    <row r="331" spans="1:17">
      <c r="A331" t="s">
        <v>361</v>
      </c>
      <c r="B331">
        <f>COUNTIF($A$2:A331,A331)</f>
        <v>1</v>
      </c>
      <c r="C331" s="2">
        <v>45757</v>
      </c>
      <c r="D331" t="s">
        <v>17</v>
      </c>
      <c r="E331" t="s">
        <v>18</v>
      </c>
      <c r="F331" t="s">
        <v>19</v>
      </c>
      <c r="G331" t="s">
        <v>25</v>
      </c>
      <c r="H331" t="s">
        <v>30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Q331">
        <v>70.900000000000006</v>
      </c>
    </row>
    <row r="332" spans="1:17">
      <c r="A332" t="s">
        <v>362</v>
      </c>
      <c r="B332">
        <f>COUNTIF($A$2:A332,A332)</f>
        <v>1</v>
      </c>
      <c r="C332" s="2">
        <v>45701</v>
      </c>
      <c r="D332" t="s">
        <v>17</v>
      </c>
      <c r="E332" t="s">
        <v>28</v>
      </c>
      <c r="F332" t="s">
        <v>24</v>
      </c>
      <c r="G332" t="s">
        <v>25</v>
      </c>
      <c r="H332" t="s">
        <v>26</v>
      </c>
      <c r="I332">
        <v>1</v>
      </c>
      <c r="J332">
        <v>1</v>
      </c>
      <c r="K332">
        <v>1</v>
      </c>
      <c r="L332">
        <v>1</v>
      </c>
      <c r="M332">
        <v>426.82</v>
      </c>
      <c r="N332">
        <v>1</v>
      </c>
      <c r="O332">
        <v>0</v>
      </c>
      <c r="P332">
        <v>14</v>
      </c>
      <c r="Q332">
        <v>68.8</v>
      </c>
    </row>
    <row r="333" spans="1:17">
      <c r="A333" t="s">
        <v>363</v>
      </c>
      <c r="B333">
        <f>COUNTIF($A$2:A333,A333)</f>
        <v>1</v>
      </c>
      <c r="C333" s="2">
        <v>45780</v>
      </c>
      <c r="D333" t="s">
        <v>17</v>
      </c>
      <c r="E333" t="s">
        <v>18</v>
      </c>
      <c r="F333" t="s">
        <v>24</v>
      </c>
      <c r="G333" t="s">
        <v>25</v>
      </c>
      <c r="H333" t="s">
        <v>21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Q333">
        <v>72.400000000000006</v>
      </c>
    </row>
    <row r="334" spans="1:17">
      <c r="A334" t="s">
        <v>364</v>
      </c>
      <c r="B334">
        <f>COUNTIF($A$2:A334,A334)</f>
        <v>1</v>
      </c>
      <c r="C334" s="2">
        <v>45726</v>
      </c>
      <c r="D334" t="s">
        <v>17</v>
      </c>
      <c r="E334" t="s">
        <v>28</v>
      </c>
      <c r="F334" t="s">
        <v>24</v>
      </c>
      <c r="G334" t="s">
        <v>25</v>
      </c>
      <c r="H334" t="s">
        <v>21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Q334">
        <v>63.3</v>
      </c>
    </row>
    <row r="335" spans="1:17">
      <c r="A335" t="s">
        <v>365</v>
      </c>
      <c r="B335">
        <f>COUNTIF($A$2:A335,A335)</f>
        <v>1</v>
      </c>
      <c r="C335" s="2">
        <v>45667</v>
      </c>
      <c r="D335" t="s">
        <v>17</v>
      </c>
      <c r="E335" t="s">
        <v>23</v>
      </c>
      <c r="F335" t="s">
        <v>34</v>
      </c>
      <c r="G335" t="s">
        <v>41</v>
      </c>
      <c r="H335" t="s">
        <v>26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Q335">
        <v>30.8</v>
      </c>
    </row>
    <row r="336" spans="1:17">
      <c r="A336" t="s">
        <v>366</v>
      </c>
      <c r="B336">
        <f>COUNTIF($A$2:A336,A336)</f>
        <v>1</v>
      </c>
      <c r="C336" s="2">
        <v>45673</v>
      </c>
      <c r="D336" t="s">
        <v>17</v>
      </c>
      <c r="E336" t="s">
        <v>32</v>
      </c>
      <c r="F336" t="s">
        <v>24</v>
      </c>
      <c r="G336" t="s">
        <v>20</v>
      </c>
      <c r="H336" t="s">
        <v>21</v>
      </c>
      <c r="I336">
        <v>1</v>
      </c>
      <c r="J336">
        <v>1</v>
      </c>
      <c r="K336">
        <v>1</v>
      </c>
      <c r="L336">
        <v>1</v>
      </c>
      <c r="M336">
        <v>874.55</v>
      </c>
      <c r="N336">
        <v>0</v>
      </c>
      <c r="O336">
        <v>0</v>
      </c>
      <c r="P336">
        <v>9</v>
      </c>
      <c r="Q336">
        <v>44.2</v>
      </c>
    </row>
    <row r="337" spans="1:17">
      <c r="A337" t="s">
        <v>367</v>
      </c>
      <c r="B337">
        <f>COUNTIF($A$2:A337,A337)</f>
        <v>1</v>
      </c>
      <c r="C337" s="2">
        <v>45699</v>
      </c>
      <c r="D337" t="s">
        <v>17</v>
      </c>
      <c r="E337" t="s">
        <v>32</v>
      </c>
      <c r="F337" t="s">
        <v>19</v>
      </c>
      <c r="G337" t="s">
        <v>25</v>
      </c>
      <c r="H337" t="s">
        <v>30</v>
      </c>
      <c r="I337">
        <v>1</v>
      </c>
      <c r="J337">
        <v>1</v>
      </c>
      <c r="K337">
        <v>1</v>
      </c>
      <c r="L337">
        <v>1</v>
      </c>
      <c r="M337">
        <v>2206.88</v>
      </c>
      <c r="N337">
        <v>0</v>
      </c>
      <c r="O337">
        <v>0</v>
      </c>
      <c r="P337">
        <v>10</v>
      </c>
      <c r="Q337">
        <v>56.2</v>
      </c>
    </row>
    <row r="338" spans="1:17">
      <c r="A338" t="s">
        <v>368</v>
      </c>
      <c r="B338">
        <f>COUNTIF($A$2:A338,A338)</f>
        <v>1</v>
      </c>
      <c r="C338" s="2">
        <v>45760</v>
      </c>
      <c r="D338" t="s">
        <v>17</v>
      </c>
      <c r="E338" t="s">
        <v>23</v>
      </c>
      <c r="F338" t="s">
        <v>24</v>
      </c>
      <c r="G338" t="s">
        <v>25</v>
      </c>
      <c r="H338" t="s">
        <v>26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Q338">
        <v>40.4</v>
      </c>
    </row>
    <row r="339" spans="1:17">
      <c r="A339" t="s">
        <v>369</v>
      </c>
      <c r="B339">
        <f>COUNTIF($A$2:A339,A339)</f>
        <v>1</v>
      </c>
      <c r="C339" s="2">
        <v>45696</v>
      </c>
      <c r="D339" t="s">
        <v>17</v>
      </c>
      <c r="E339" t="s">
        <v>28</v>
      </c>
      <c r="F339" t="s">
        <v>24</v>
      </c>
      <c r="G339" t="s">
        <v>29</v>
      </c>
      <c r="H339" t="s">
        <v>26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Q339">
        <v>68.099999999999994</v>
      </c>
    </row>
    <row r="340" spans="1:17">
      <c r="A340" t="s">
        <v>370</v>
      </c>
      <c r="B340">
        <f>COUNTIF($A$2:A340,A340)</f>
        <v>1</v>
      </c>
      <c r="C340" s="2">
        <v>45747</v>
      </c>
      <c r="D340" t="s">
        <v>17</v>
      </c>
      <c r="E340" t="s">
        <v>23</v>
      </c>
      <c r="F340" t="s">
        <v>19</v>
      </c>
      <c r="G340" t="s">
        <v>39</v>
      </c>
      <c r="H340" t="s">
        <v>26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Q340">
        <v>86.3</v>
      </c>
    </row>
    <row r="341" spans="1:17">
      <c r="A341" t="s">
        <v>371</v>
      </c>
      <c r="B341">
        <f>COUNTIF($A$2:A341,A341)</f>
        <v>1</v>
      </c>
      <c r="C341" s="2">
        <v>45688</v>
      </c>
      <c r="D341" t="s">
        <v>17</v>
      </c>
      <c r="E341" t="s">
        <v>23</v>
      </c>
      <c r="F341" t="s">
        <v>19</v>
      </c>
      <c r="G341" t="s">
        <v>39</v>
      </c>
      <c r="H341" t="s">
        <v>26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Q341">
        <v>42.9</v>
      </c>
    </row>
    <row r="342" spans="1:17">
      <c r="A342" t="s">
        <v>372</v>
      </c>
      <c r="B342">
        <f>COUNTIF($A$2:A342,A342)</f>
        <v>1</v>
      </c>
      <c r="C342" s="2">
        <v>45785</v>
      </c>
      <c r="D342" t="s">
        <v>17</v>
      </c>
      <c r="E342" t="s">
        <v>23</v>
      </c>
      <c r="F342" t="s">
        <v>34</v>
      </c>
      <c r="G342" t="s">
        <v>25</v>
      </c>
      <c r="H342" t="s">
        <v>26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Q342">
        <v>61.4</v>
      </c>
    </row>
    <row r="343" spans="1:17">
      <c r="A343" t="s">
        <v>373</v>
      </c>
      <c r="B343">
        <f>COUNTIF($A$2:A343,A343)</f>
        <v>1</v>
      </c>
      <c r="C343" s="2">
        <v>45731</v>
      </c>
      <c r="D343" t="s">
        <v>17</v>
      </c>
      <c r="E343" t="s">
        <v>18</v>
      </c>
      <c r="F343" t="s">
        <v>24</v>
      </c>
      <c r="G343" t="s">
        <v>29</v>
      </c>
      <c r="H343" t="s">
        <v>26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Q343">
        <v>73.3</v>
      </c>
    </row>
    <row r="344" spans="1:17">
      <c r="A344" t="s">
        <v>374</v>
      </c>
      <c r="B344">
        <f>COUNTIF($A$2:A344,A344)</f>
        <v>1</v>
      </c>
      <c r="C344" s="2">
        <v>45670</v>
      </c>
      <c r="D344" t="s">
        <v>17</v>
      </c>
      <c r="E344" t="s">
        <v>32</v>
      </c>
      <c r="F344" t="s">
        <v>24</v>
      </c>
      <c r="G344" t="s">
        <v>39</v>
      </c>
      <c r="H344" t="s">
        <v>21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Q344">
        <v>59.4</v>
      </c>
    </row>
    <row r="345" spans="1:17">
      <c r="A345" t="s">
        <v>375</v>
      </c>
      <c r="B345">
        <f>COUNTIF($A$2:A345,A345)</f>
        <v>1</v>
      </c>
      <c r="C345" s="2">
        <v>45723</v>
      </c>
      <c r="D345" t="s">
        <v>17</v>
      </c>
      <c r="E345" t="s">
        <v>32</v>
      </c>
      <c r="F345" t="s">
        <v>34</v>
      </c>
      <c r="G345" t="s">
        <v>25</v>
      </c>
      <c r="H345" t="s">
        <v>21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Q345">
        <v>35.200000000000003</v>
      </c>
    </row>
    <row r="346" spans="1:17">
      <c r="A346" t="s">
        <v>376</v>
      </c>
      <c r="B346">
        <f>COUNTIF($A$2:A346,A346)</f>
        <v>1</v>
      </c>
      <c r="C346" s="2">
        <v>45698</v>
      </c>
      <c r="D346" t="s">
        <v>17</v>
      </c>
      <c r="E346" t="s">
        <v>32</v>
      </c>
      <c r="F346" t="s">
        <v>24</v>
      </c>
      <c r="G346" t="s">
        <v>41</v>
      </c>
      <c r="H346" t="s">
        <v>30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Q346">
        <v>55.3</v>
      </c>
    </row>
    <row r="347" spans="1:17">
      <c r="A347" t="s">
        <v>377</v>
      </c>
      <c r="B347">
        <f>COUNTIF($A$2:A347,A347)</f>
        <v>1</v>
      </c>
      <c r="C347" s="2">
        <v>45728</v>
      </c>
      <c r="D347" t="s">
        <v>17</v>
      </c>
      <c r="E347" t="s">
        <v>28</v>
      </c>
      <c r="F347" t="s">
        <v>24</v>
      </c>
      <c r="G347" t="s">
        <v>29</v>
      </c>
      <c r="H347" t="s">
        <v>26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Q347">
        <v>37.5</v>
      </c>
    </row>
    <row r="348" spans="1:17">
      <c r="A348" t="s">
        <v>378</v>
      </c>
      <c r="B348">
        <f>COUNTIF($A$2:A348,A348)</f>
        <v>1</v>
      </c>
      <c r="C348" s="2">
        <v>45660</v>
      </c>
      <c r="D348" t="s">
        <v>17</v>
      </c>
      <c r="E348" t="s">
        <v>32</v>
      </c>
      <c r="F348" t="s">
        <v>19</v>
      </c>
      <c r="G348" t="s">
        <v>29</v>
      </c>
      <c r="H348" t="s">
        <v>26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Q348">
        <v>66.400000000000006</v>
      </c>
    </row>
    <row r="349" spans="1:17">
      <c r="A349" t="s">
        <v>379</v>
      </c>
      <c r="B349">
        <f>COUNTIF($A$2:A349,A349)</f>
        <v>1</v>
      </c>
      <c r="C349" s="2">
        <v>45775</v>
      </c>
      <c r="D349" t="s">
        <v>17</v>
      </c>
      <c r="E349" t="s">
        <v>18</v>
      </c>
      <c r="F349" t="s">
        <v>34</v>
      </c>
      <c r="G349" t="s">
        <v>41</v>
      </c>
      <c r="H349" t="s">
        <v>21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Q349">
        <v>61.9</v>
      </c>
    </row>
    <row r="350" spans="1:17">
      <c r="A350" t="s">
        <v>380</v>
      </c>
      <c r="B350">
        <f>COUNTIF($A$2:A350,A350)</f>
        <v>1</v>
      </c>
      <c r="C350" s="2">
        <v>45764</v>
      </c>
      <c r="D350" t="s">
        <v>17</v>
      </c>
      <c r="E350" t="s">
        <v>28</v>
      </c>
      <c r="F350" t="s">
        <v>24</v>
      </c>
      <c r="G350" t="s">
        <v>25</v>
      </c>
      <c r="H350" t="s">
        <v>26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Q350">
        <v>56</v>
      </c>
    </row>
    <row r="351" spans="1:17">
      <c r="A351" t="s">
        <v>381</v>
      </c>
      <c r="B351">
        <f>COUNTIF($A$2:A351,A351)</f>
        <v>1</v>
      </c>
      <c r="C351" s="2">
        <v>45800</v>
      </c>
      <c r="D351" t="s">
        <v>17</v>
      </c>
      <c r="E351" t="s">
        <v>32</v>
      </c>
      <c r="F351" t="s">
        <v>19</v>
      </c>
      <c r="G351" t="s">
        <v>41</v>
      </c>
      <c r="H351" t="s">
        <v>21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Q351">
        <v>55.5</v>
      </c>
    </row>
    <row r="352" spans="1:17">
      <c r="A352" t="s">
        <v>382</v>
      </c>
      <c r="B352">
        <f>COUNTIF($A$2:A352,A352)</f>
        <v>1</v>
      </c>
      <c r="C352" s="2">
        <v>45707</v>
      </c>
      <c r="D352" t="s">
        <v>17</v>
      </c>
      <c r="E352" t="s">
        <v>23</v>
      </c>
      <c r="F352" t="s">
        <v>34</v>
      </c>
      <c r="G352" t="s">
        <v>39</v>
      </c>
      <c r="H352" t="s">
        <v>21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Q352">
        <v>37.200000000000003</v>
      </c>
    </row>
    <row r="353" spans="1:17">
      <c r="A353" t="s">
        <v>383</v>
      </c>
      <c r="B353">
        <f>COUNTIF($A$2:A353,A353)</f>
        <v>1</v>
      </c>
      <c r="C353" s="2">
        <v>45675</v>
      </c>
      <c r="D353" t="s">
        <v>17</v>
      </c>
      <c r="E353" t="s">
        <v>32</v>
      </c>
      <c r="F353" t="s">
        <v>19</v>
      </c>
      <c r="G353" t="s">
        <v>25</v>
      </c>
      <c r="H353" t="s">
        <v>26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Q353">
        <v>70.5</v>
      </c>
    </row>
    <row r="354" spans="1:17">
      <c r="A354" t="s">
        <v>384</v>
      </c>
      <c r="B354">
        <f>COUNTIF($A$2:A354,A354)</f>
        <v>1</v>
      </c>
      <c r="C354" s="2">
        <v>45764</v>
      </c>
      <c r="D354" t="s">
        <v>17</v>
      </c>
      <c r="E354" t="s">
        <v>18</v>
      </c>
      <c r="F354" t="s">
        <v>24</v>
      </c>
      <c r="G354" t="s">
        <v>25</v>
      </c>
      <c r="H354" t="s">
        <v>26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Q354">
        <v>61.2</v>
      </c>
    </row>
    <row r="355" spans="1:17">
      <c r="A355" t="s">
        <v>385</v>
      </c>
      <c r="B355">
        <f>COUNTIF($A$2:A355,A355)</f>
        <v>1</v>
      </c>
      <c r="C355" s="2">
        <v>45759</v>
      </c>
      <c r="D355" t="s">
        <v>17</v>
      </c>
      <c r="E355" t="s">
        <v>28</v>
      </c>
      <c r="F355" t="s">
        <v>34</v>
      </c>
      <c r="G355" t="s">
        <v>41</v>
      </c>
      <c r="H355" t="s">
        <v>26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Q355">
        <v>64.599999999999994</v>
      </c>
    </row>
    <row r="356" spans="1:17">
      <c r="A356" t="s">
        <v>386</v>
      </c>
      <c r="B356">
        <f>COUNTIF($A$2:A356,A356)</f>
        <v>1</v>
      </c>
      <c r="C356" s="2">
        <v>45793</v>
      </c>
      <c r="D356" t="s">
        <v>17</v>
      </c>
      <c r="E356" t="s">
        <v>28</v>
      </c>
      <c r="F356" t="s">
        <v>24</v>
      </c>
      <c r="G356" t="s">
        <v>20</v>
      </c>
      <c r="H356" t="s">
        <v>26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Q356">
        <v>91.7</v>
      </c>
    </row>
    <row r="357" spans="1:17">
      <c r="A357" t="s">
        <v>387</v>
      </c>
      <c r="B357">
        <f>COUNTIF($A$2:A357,A357)</f>
        <v>1</v>
      </c>
      <c r="C357" s="2">
        <v>45740</v>
      </c>
      <c r="D357" t="s">
        <v>17</v>
      </c>
      <c r="E357" t="s">
        <v>23</v>
      </c>
      <c r="F357" t="s">
        <v>24</v>
      </c>
      <c r="G357" t="s">
        <v>41</v>
      </c>
      <c r="H357" t="s">
        <v>26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Q357">
        <v>46</v>
      </c>
    </row>
    <row r="358" spans="1:17">
      <c r="A358" t="s">
        <v>388</v>
      </c>
      <c r="B358">
        <f>COUNTIF($A$2:A358,A358)</f>
        <v>1</v>
      </c>
      <c r="C358" s="2">
        <v>45704</v>
      </c>
      <c r="D358" t="s">
        <v>17</v>
      </c>
      <c r="E358" t="s">
        <v>23</v>
      </c>
      <c r="F358" t="s">
        <v>24</v>
      </c>
      <c r="G358" t="s">
        <v>25</v>
      </c>
      <c r="H358" t="s">
        <v>21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Q358">
        <v>50.8</v>
      </c>
    </row>
    <row r="359" spans="1:17">
      <c r="A359" t="s">
        <v>389</v>
      </c>
      <c r="B359">
        <f>COUNTIF($A$2:A359,A359)</f>
        <v>1</v>
      </c>
      <c r="C359" s="2">
        <v>45735</v>
      </c>
      <c r="D359" t="s">
        <v>17</v>
      </c>
      <c r="E359" t="s">
        <v>18</v>
      </c>
      <c r="F359" t="s">
        <v>34</v>
      </c>
      <c r="G359" t="s">
        <v>25</v>
      </c>
      <c r="H359" t="s">
        <v>26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Q359">
        <v>52.8</v>
      </c>
    </row>
    <row r="360" spans="1:17">
      <c r="A360" t="s">
        <v>390</v>
      </c>
      <c r="B360">
        <f>COUNTIF($A$2:A360,A360)</f>
        <v>1</v>
      </c>
      <c r="C360" s="2">
        <v>45768</v>
      </c>
      <c r="D360" t="s">
        <v>17</v>
      </c>
      <c r="E360" t="s">
        <v>32</v>
      </c>
      <c r="F360" t="s">
        <v>24</v>
      </c>
      <c r="G360" t="s">
        <v>25</v>
      </c>
      <c r="H360" t="s">
        <v>21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Q360">
        <v>63</v>
      </c>
    </row>
    <row r="361" spans="1:17">
      <c r="A361" t="s">
        <v>391</v>
      </c>
      <c r="B361">
        <f>COUNTIF($A$2:A361,A361)</f>
        <v>1</v>
      </c>
      <c r="C361" s="2">
        <v>45668</v>
      </c>
      <c r="D361" t="s">
        <v>17</v>
      </c>
      <c r="E361" t="s">
        <v>23</v>
      </c>
      <c r="F361" t="s">
        <v>24</v>
      </c>
      <c r="G361" t="s">
        <v>25</v>
      </c>
      <c r="H361" t="s">
        <v>26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Q361">
        <v>28.4</v>
      </c>
    </row>
    <row r="362" spans="1:17">
      <c r="A362" t="s">
        <v>392</v>
      </c>
      <c r="B362">
        <f>COUNTIF($A$2:A362,A362)</f>
        <v>1</v>
      </c>
      <c r="C362" s="2">
        <v>45771</v>
      </c>
      <c r="D362" t="s">
        <v>17</v>
      </c>
      <c r="E362" t="s">
        <v>23</v>
      </c>
      <c r="F362" t="s">
        <v>19</v>
      </c>
      <c r="G362" t="s">
        <v>25</v>
      </c>
      <c r="H362" t="s">
        <v>26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Q362">
        <v>65.599999999999994</v>
      </c>
    </row>
    <row r="363" spans="1:17">
      <c r="A363" t="s">
        <v>393</v>
      </c>
      <c r="B363">
        <f>COUNTIF($A$2:A363,A363)</f>
        <v>1</v>
      </c>
      <c r="C363" s="2">
        <v>45729</v>
      </c>
      <c r="D363" t="s">
        <v>17</v>
      </c>
      <c r="E363" t="s">
        <v>18</v>
      </c>
      <c r="F363" t="s">
        <v>24</v>
      </c>
      <c r="G363" t="s">
        <v>41</v>
      </c>
      <c r="H363" t="s">
        <v>30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Q363">
        <v>54.7</v>
      </c>
    </row>
    <row r="364" spans="1:17">
      <c r="A364" t="s">
        <v>394</v>
      </c>
      <c r="B364">
        <f>COUNTIF($A$2:A364,A364)</f>
        <v>1</v>
      </c>
      <c r="C364" s="2">
        <v>45687</v>
      </c>
      <c r="D364" t="s">
        <v>17</v>
      </c>
      <c r="E364" t="s">
        <v>18</v>
      </c>
      <c r="F364" t="s">
        <v>24</v>
      </c>
      <c r="G364" t="s">
        <v>41</v>
      </c>
      <c r="H364" t="s">
        <v>21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Q364">
        <v>36.1</v>
      </c>
    </row>
    <row r="365" spans="1:17">
      <c r="A365" t="s">
        <v>395</v>
      </c>
      <c r="B365">
        <f>COUNTIF($A$2:A365,A365)</f>
        <v>1</v>
      </c>
      <c r="C365" s="2">
        <v>45785</v>
      </c>
      <c r="D365" t="s">
        <v>17</v>
      </c>
      <c r="E365" t="s">
        <v>32</v>
      </c>
      <c r="F365" t="s">
        <v>24</v>
      </c>
      <c r="G365" t="s">
        <v>41</v>
      </c>
      <c r="H365" t="s">
        <v>21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Q365">
        <v>70.400000000000006</v>
      </c>
    </row>
    <row r="366" spans="1:17">
      <c r="A366" t="s">
        <v>396</v>
      </c>
      <c r="B366">
        <f>COUNTIF($A$2:A366,A366)</f>
        <v>1</v>
      </c>
      <c r="C366" s="2">
        <v>45665</v>
      </c>
      <c r="D366" t="s">
        <v>17</v>
      </c>
      <c r="E366" t="s">
        <v>28</v>
      </c>
      <c r="F366" t="s">
        <v>19</v>
      </c>
      <c r="G366" t="s">
        <v>41</v>
      </c>
      <c r="H366" t="s">
        <v>26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Q366">
        <v>56.4</v>
      </c>
    </row>
    <row r="367" spans="1:17">
      <c r="A367" t="s">
        <v>397</v>
      </c>
      <c r="B367">
        <f>COUNTIF($A$2:A367,A367)</f>
        <v>1</v>
      </c>
      <c r="C367" s="2">
        <v>45780</v>
      </c>
      <c r="D367" t="s">
        <v>17</v>
      </c>
      <c r="E367" t="s">
        <v>32</v>
      </c>
      <c r="F367" t="s">
        <v>24</v>
      </c>
      <c r="G367" t="s">
        <v>25</v>
      </c>
      <c r="H367" t="s">
        <v>26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Q367">
        <v>79.2</v>
      </c>
    </row>
    <row r="368" spans="1:17">
      <c r="A368" t="s">
        <v>398</v>
      </c>
      <c r="B368">
        <f>COUNTIF($A$2:A368,A368)</f>
        <v>1</v>
      </c>
      <c r="C368" s="2">
        <v>45700</v>
      </c>
      <c r="D368" t="s">
        <v>17</v>
      </c>
      <c r="E368" t="s">
        <v>28</v>
      </c>
      <c r="F368" t="s">
        <v>24</v>
      </c>
      <c r="G368" t="s">
        <v>29</v>
      </c>
      <c r="H368" t="s">
        <v>26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Q368">
        <v>60.1</v>
      </c>
    </row>
    <row r="369" spans="1:17">
      <c r="A369" t="s">
        <v>399</v>
      </c>
      <c r="B369">
        <f>COUNTIF($A$2:A369,A369)</f>
        <v>1</v>
      </c>
      <c r="C369" s="2">
        <v>45713</v>
      </c>
      <c r="D369" t="s">
        <v>17</v>
      </c>
      <c r="E369" t="s">
        <v>32</v>
      </c>
      <c r="F369" t="s">
        <v>34</v>
      </c>
      <c r="G369" t="s">
        <v>25</v>
      </c>
      <c r="H369" t="s">
        <v>26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Q369">
        <v>58</v>
      </c>
    </row>
    <row r="370" spans="1:17">
      <c r="A370" t="s">
        <v>400</v>
      </c>
      <c r="B370">
        <f>COUNTIF($A$2:A370,A370)</f>
        <v>1</v>
      </c>
      <c r="C370" s="2">
        <v>45761</v>
      </c>
      <c r="D370" t="s">
        <v>17</v>
      </c>
      <c r="E370" t="s">
        <v>32</v>
      </c>
      <c r="F370" t="s">
        <v>24</v>
      </c>
      <c r="G370" t="s">
        <v>39</v>
      </c>
      <c r="H370" t="s">
        <v>26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Q370">
        <v>69</v>
      </c>
    </row>
    <row r="371" spans="1:17">
      <c r="A371" t="s">
        <v>401</v>
      </c>
      <c r="B371">
        <f>COUNTIF($A$2:A371,A371)</f>
        <v>1</v>
      </c>
      <c r="C371" s="2">
        <v>45665</v>
      </c>
      <c r="D371" t="s">
        <v>17</v>
      </c>
      <c r="E371" t="s">
        <v>18</v>
      </c>
      <c r="F371" t="s">
        <v>24</v>
      </c>
      <c r="G371" t="s">
        <v>39</v>
      </c>
      <c r="H371" t="s">
        <v>30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1</v>
      </c>
      <c r="O371">
        <v>0</v>
      </c>
      <c r="Q371">
        <v>80.8</v>
      </c>
    </row>
    <row r="372" spans="1:17">
      <c r="A372" t="s">
        <v>402</v>
      </c>
      <c r="B372">
        <f>COUNTIF($A$2:A372,A372)</f>
        <v>1</v>
      </c>
      <c r="C372" s="2">
        <v>45730</v>
      </c>
      <c r="D372" t="s">
        <v>17</v>
      </c>
      <c r="E372" t="s">
        <v>28</v>
      </c>
      <c r="F372" t="s">
        <v>24</v>
      </c>
      <c r="G372" t="s">
        <v>20</v>
      </c>
      <c r="H372" t="s">
        <v>26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Q372">
        <v>32.799999999999997</v>
      </c>
    </row>
    <row r="373" spans="1:17">
      <c r="A373" t="s">
        <v>403</v>
      </c>
      <c r="B373">
        <f>COUNTIF($A$2:A373,A373)</f>
        <v>1</v>
      </c>
      <c r="C373" s="2">
        <v>45776</v>
      </c>
      <c r="D373" t="s">
        <v>17</v>
      </c>
      <c r="E373" t="s">
        <v>18</v>
      </c>
      <c r="F373" t="s">
        <v>19</v>
      </c>
      <c r="G373" t="s">
        <v>29</v>
      </c>
      <c r="H373" t="s">
        <v>30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Q373">
        <v>56</v>
      </c>
    </row>
    <row r="374" spans="1:17">
      <c r="A374" t="s">
        <v>404</v>
      </c>
      <c r="B374">
        <f>COUNTIF($A$2:A374,A374)</f>
        <v>1</v>
      </c>
      <c r="C374" s="2">
        <v>45778</v>
      </c>
      <c r="D374" t="s">
        <v>17</v>
      </c>
      <c r="E374" t="s">
        <v>28</v>
      </c>
      <c r="F374" t="s">
        <v>19</v>
      </c>
      <c r="G374" t="s">
        <v>41</v>
      </c>
      <c r="H374" t="s">
        <v>26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Q374">
        <v>76.400000000000006</v>
      </c>
    </row>
    <row r="375" spans="1:17">
      <c r="A375" t="s">
        <v>405</v>
      </c>
      <c r="B375">
        <f>COUNTIF($A$2:A375,A375)</f>
        <v>1</v>
      </c>
      <c r="C375" s="2">
        <v>45735</v>
      </c>
      <c r="D375" t="s">
        <v>17</v>
      </c>
      <c r="E375" t="s">
        <v>18</v>
      </c>
      <c r="F375" t="s">
        <v>24</v>
      </c>
      <c r="G375" t="s">
        <v>39</v>
      </c>
      <c r="H375" t="s">
        <v>26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Q375">
        <v>28.5</v>
      </c>
    </row>
    <row r="376" spans="1:17">
      <c r="A376" t="s">
        <v>406</v>
      </c>
      <c r="B376">
        <f>COUNTIF($A$2:A376,A376)</f>
        <v>1</v>
      </c>
      <c r="C376" s="2">
        <v>45778</v>
      </c>
      <c r="D376" t="s">
        <v>17</v>
      </c>
      <c r="E376" t="s">
        <v>32</v>
      </c>
      <c r="F376" t="s">
        <v>19</v>
      </c>
      <c r="G376" t="s">
        <v>41</v>
      </c>
      <c r="H376" t="s">
        <v>21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Q376">
        <v>48.3</v>
      </c>
    </row>
    <row r="377" spans="1:17">
      <c r="A377" t="s">
        <v>407</v>
      </c>
      <c r="B377">
        <f>COUNTIF($A$2:A377,A377)</f>
        <v>1</v>
      </c>
      <c r="C377" s="2">
        <v>45730</v>
      </c>
      <c r="D377" t="s">
        <v>17</v>
      </c>
      <c r="E377" t="s">
        <v>23</v>
      </c>
      <c r="F377" t="s">
        <v>24</v>
      </c>
      <c r="G377" t="s">
        <v>25</v>
      </c>
      <c r="H377" t="s">
        <v>26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Q377">
        <v>43.4</v>
      </c>
    </row>
    <row r="378" spans="1:17">
      <c r="A378" t="s">
        <v>408</v>
      </c>
      <c r="B378">
        <f>COUNTIF($A$2:A378,A378)</f>
        <v>1</v>
      </c>
      <c r="C378" s="2">
        <v>45739</v>
      </c>
      <c r="D378" t="s">
        <v>17</v>
      </c>
      <c r="E378" t="s">
        <v>18</v>
      </c>
      <c r="F378" t="s">
        <v>24</v>
      </c>
      <c r="G378" t="s">
        <v>29</v>
      </c>
      <c r="H378" t="s">
        <v>26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Q378">
        <v>43</v>
      </c>
    </row>
    <row r="379" spans="1:17">
      <c r="A379" t="s">
        <v>409</v>
      </c>
      <c r="B379">
        <f>COUNTIF($A$2:A379,A379)</f>
        <v>1</v>
      </c>
      <c r="C379" s="2">
        <v>45696</v>
      </c>
      <c r="D379" t="s">
        <v>17</v>
      </c>
      <c r="E379" t="s">
        <v>28</v>
      </c>
      <c r="F379" t="s">
        <v>24</v>
      </c>
      <c r="G379" t="s">
        <v>39</v>
      </c>
      <c r="H379" t="s">
        <v>21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Q379">
        <v>91.8</v>
      </c>
    </row>
    <row r="380" spans="1:17">
      <c r="A380" t="s">
        <v>410</v>
      </c>
      <c r="B380">
        <f>COUNTIF($A$2:A380,A380)</f>
        <v>1</v>
      </c>
      <c r="C380" s="2">
        <v>45762</v>
      </c>
      <c r="D380" t="s">
        <v>17</v>
      </c>
      <c r="E380" t="s">
        <v>23</v>
      </c>
      <c r="F380" t="s">
        <v>34</v>
      </c>
      <c r="G380" t="s">
        <v>29</v>
      </c>
      <c r="H380" t="s">
        <v>21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Q380">
        <v>69.3</v>
      </c>
    </row>
    <row r="381" spans="1:17">
      <c r="A381" t="s">
        <v>411</v>
      </c>
      <c r="B381">
        <f>COUNTIF($A$2:A381,A381)</f>
        <v>1</v>
      </c>
      <c r="C381" s="2">
        <v>45660</v>
      </c>
      <c r="D381" t="s">
        <v>17</v>
      </c>
      <c r="E381" t="s">
        <v>32</v>
      </c>
      <c r="F381" t="s">
        <v>19</v>
      </c>
      <c r="G381" t="s">
        <v>29</v>
      </c>
      <c r="H381" t="s">
        <v>21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Q381">
        <v>58.9</v>
      </c>
    </row>
    <row r="382" spans="1:17">
      <c r="A382" t="s">
        <v>412</v>
      </c>
      <c r="B382">
        <f>COUNTIF($A$2:A382,A382)</f>
        <v>1</v>
      </c>
      <c r="C382" s="2">
        <v>45739</v>
      </c>
      <c r="D382" t="s">
        <v>17</v>
      </c>
      <c r="E382" t="s">
        <v>23</v>
      </c>
      <c r="F382" t="s">
        <v>24</v>
      </c>
      <c r="G382" t="s">
        <v>41</v>
      </c>
      <c r="H382" t="s">
        <v>26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Q382">
        <v>76</v>
      </c>
    </row>
    <row r="383" spans="1:17">
      <c r="A383" t="s">
        <v>413</v>
      </c>
      <c r="B383">
        <f>COUNTIF($A$2:A383,A383)</f>
        <v>1</v>
      </c>
      <c r="C383" s="2">
        <v>45804</v>
      </c>
      <c r="D383" t="s">
        <v>17</v>
      </c>
      <c r="E383" t="s">
        <v>32</v>
      </c>
      <c r="F383" t="s">
        <v>24</v>
      </c>
      <c r="G383" t="s">
        <v>39</v>
      </c>
      <c r="H383" t="s">
        <v>30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Q383">
        <v>46</v>
      </c>
    </row>
    <row r="384" spans="1:17">
      <c r="A384" t="s">
        <v>414</v>
      </c>
      <c r="B384">
        <f>COUNTIF($A$2:A384,A384)</f>
        <v>1</v>
      </c>
      <c r="C384" s="2">
        <v>45777</v>
      </c>
      <c r="D384" t="s">
        <v>17</v>
      </c>
      <c r="E384" t="s">
        <v>28</v>
      </c>
      <c r="F384" t="s">
        <v>24</v>
      </c>
      <c r="G384" t="s">
        <v>25</v>
      </c>
      <c r="H384" t="s">
        <v>26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Q384">
        <v>54.1</v>
      </c>
    </row>
    <row r="385" spans="1:17">
      <c r="A385" t="s">
        <v>415</v>
      </c>
      <c r="B385">
        <f>COUNTIF($A$2:A385,A385)</f>
        <v>1</v>
      </c>
      <c r="C385" s="2">
        <v>45723</v>
      </c>
      <c r="D385" t="s">
        <v>17</v>
      </c>
      <c r="E385" t="s">
        <v>23</v>
      </c>
      <c r="F385" t="s">
        <v>24</v>
      </c>
      <c r="G385" t="s">
        <v>41</v>
      </c>
      <c r="H385" t="s">
        <v>21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Q385">
        <v>82.4</v>
      </c>
    </row>
    <row r="386" spans="1:17">
      <c r="A386" t="s">
        <v>416</v>
      </c>
      <c r="B386">
        <f>COUNTIF($A$2:A386,A386)</f>
        <v>1</v>
      </c>
      <c r="C386" s="2">
        <v>45787</v>
      </c>
      <c r="D386" t="s">
        <v>17</v>
      </c>
      <c r="E386" t="s">
        <v>32</v>
      </c>
      <c r="F386" t="s">
        <v>24</v>
      </c>
      <c r="G386" t="s">
        <v>25</v>
      </c>
      <c r="H386" t="s">
        <v>21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Q386">
        <v>71.900000000000006</v>
      </c>
    </row>
    <row r="387" spans="1:17">
      <c r="A387" t="s">
        <v>417</v>
      </c>
      <c r="B387">
        <f>COUNTIF($A$2:A387,A387)</f>
        <v>1</v>
      </c>
      <c r="C387" s="2">
        <v>45799</v>
      </c>
      <c r="D387" t="s">
        <v>17</v>
      </c>
      <c r="E387" t="s">
        <v>28</v>
      </c>
      <c r="F387" t="s">
        <v>24</v>
      </c>
      <c r="G387" t="s">
        <v>25</v>
      </c>
      <c r="H387" t="s">
        <v>26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</v>
      </c>
      <c r="O387">
        <v>0</v>
      </c>
      <c r="Q387">
        <v>38</v>
      </c>
    </row>
    <row r="388" spans="1:17">
      <c r="A388" t="s">
        <v>418</v>
      </c>
      <c r="B388">
        <f>COUNTIF($A$2:A388,A388)</f>
        <v>1</v>
      </c>
      <c r="C388" s="2">
        <v>45697</v>
      </c>
      <c r="D388" t="s">
        <v>17</v>
      </c>
      <c r="E388" t="s">
        <v>28</v>
      </c>
      <c r="F388" t="s">
        <v>24</v>
      </c>
      <c r="G388" t="s">
        <v>29</v>
      </c>
      <c r="H388" t="s">
        <v>26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Q388">
        <v>43.7</v>
      </c>
    </row>
    <row r="389" spans="1:17">
      <c r="A389" t="s">
        <v>419</v>
      </c>
      <c r="B389">
        <f>COUNTIF($A$2:A389,A389)</f>
        <v>1</v>
      </c>
      <c r="C389" s="2">
        <v>45807</v>
      </c>
      <c r="D389" t="s">
        <v>17</v>
      </c>
      <c r="E389" t="s">
        <v>23</v>
      </c>
      <c r="F389" t="s">
        <v>19</v>
      </c>
      <c r="G389" t="s">
        <v>25</v>
      </c>
      <c r="H389" t="s">
        <v>30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Q389">
        <v>32.200000000000003</v>
      </c>
    </row>
    <row r="390" spans="1:17">
      <c r="A390" t="s">
        <v>420</v>
      </c>
      <c r="B390">
        <f>COUNTIF($A$2:A390,A390)</f>
        <v>1</v>
      </c>
      <c r="C390" s="2">
        <v>45778</v>
      </c>
      <c r="D390" t="s">
        <v>17</v>
      </c>
      <c r="E390" t="s">
        <v>32</v>
      </c>
      <c r="F390" t="s">
        <v>24</v>
      </c>
      <c r="G390" t="s">
        <v>25</v>
      </c>
      <c r="H390" t="s">
        <v>30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Q390">
        <v>61</v>
      </c>
    </row>
    <row r="391" spans="1:17">
      <c r="A391" t="s">
        <v>421</v>
      </c>
      <c r="B391">
        <f>COUNTIF($A$2:A391,A391)</f>
        <v>1</v>
      </c>
      <c r="C391" s="2">
        <v>45660</v>
      </c>
      <c r="D391" t="s">
        <v>17</v>
      </c>
      <c r="E391" t="s">
        <v>32</v>
      </c>
      <c r="F391" t="s">
        <v>24</v>
      </c>
      <c r="G391" t="s">
        <v>29</v>
      </c>
      <c r="H391" t="s">
        <v>26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Q391">
        <v>49</v>
      </c>
    </row>
    <row r="392" spans="1:17">
      <c r="A392" t="s">
        <v>422</v>
      </c>
      <c r="B392">
        <f>COUNTIF($A$2:A392,A392)</f>
        <v>1</v>
      </c>
      <c r="C392" s="2">
        <v>45701</v>
      </c>
      <c r="D392" t="s">
        <v>17</v>
      </c>
      <c r="E392" t="s">
        <v>28</v>
      </c>
      <c r="F392" t="s">
        <v>24</v>
      </c>
      <c r="G392" t="s">
        <v>25</v>
      </c>
      <c r="H392" t="s">
        <v>26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Q392">
        <v>48.1</v>
      </c>
    </row>
    <row r="393" spans="1:17">
      <c r="A393" t="s">
        <v>423</v>
      </c>
      <c r="B393">
        <f>COUNTIF($A$2:A393,A393)</f>
        <v>1</v>
      </c>
      <c r="C393" s="2">
        <v>45671</v>
      </c>
      <c r="D393" t="s">
        <v>17</v>
      </c>
      <c r="E393" t="s">
        <v>32</v>
      </c>
      <c r="F393" t="s">
        <v>19</v>
      </c>
      <c r="G393" t="s">
        <v>25</v>
      </c>
      <c r="H393" t="s">
        <v>26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0</v>
      </c>
      <c r="Q393">
        <v>46.3</v>
      </c>
    </row>
    <row r="394" spans="1:17">
      <c r="A394" t="s">
        <v>424</v>
      </c>
      <c r="B394">
        <f>COUNTIF($A$2:A394,A394)</f>
        <v>1</v>
      </c>
      <c r="C394" s="2">
        <v>45712</v>
      </c>
      <c r="D394" t="s">
        <v>17</v>
      </c>
      <c r="E394" t="s">
        <v>18</v>
      </c>
      <c r="F394" t="s">
        <v>24</v>
      </c>
      <c r="G394" t="s">
        <v>39</v>
      </c>
      <c r="H394" t="s">
        <v>26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64</v>
      </c>
    </row>
    <row r="395" spans="1:17">
      <c r="A395" t="s">
        <v>425</v>
      </c>
      <c r="B395">
        <f>COUNTIF($A$2:A395,A395)</f>
        <v>1</v>
      </c>
      <c r="C395" s="2">
        <v>45793</v>
      </c>
      <c r="D395" t="s">
        <v>17</v>
      </c>
      <c r="E395" t="s">
        <v>23</v>
      </c>
      <c r="F395" t="s">
        <v>19</v>
      </c>
      <c r="G395" t="s">
        <v>25</v>
      </c>
      <c r="H395" t="s">
        <v>21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Q395">
        <v>56.2</v>
      </c>
    </row>
    <row r="396" spans="1:17">
      <c r="A396" t="s">
        <v>426</v>
      </c>
      <c r="B396">
        <f>COUNTIF($A$2:A396,A396)</f>
        <v>1</v>
      </c>
      <c r="C396" s="2">
        <v>45776</v>
      </c>
      <c r="D396" t="s">
        <v>17</v>
      </c>
      <c r="E396" t="s">
        <v>18</v>
      </c>
      <c r="F396" t="s">
        <v>24</v>
      </c>
      <c r="G396" t="s">
        <v>29</v>
      </c>
      <c r="H396" t="s">
        <v>26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Q396">
        <v>77.5</v>
      </c>
    </row>
    <row r="397" spans="1:17">
      <c r="A397" t="s">
        <v>427</v>
      </c>
      <c r="B397">
        <f>COUNTIF($A$2:A397,A397)</f>
        <v>1</v>
      </c>
      <c r="C397" s="2">
        <v>45777</v>
      </c>
      <c r="D397" t="s">
        <v>17</v>
      </c>
      <c r="E397" t="s">
        <v>32</v>
      </c>
      <c r="F397" t="s">
        <v>19</v>
      </c>
      <c r="G397" t="s">
        <v>20</v>
      </c>
      <c r="H397" t="s">
        <v>21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Q397">
        <v>59.9</v>
      </c>
    </row>
    <row r="398" spans="1:17">
      <c r="A398" t="s">
        <v>428</v>
      </c>
      <c r="B398">
        <f>COUNTIF($A$2:A398,A398)</f>
        <v>1</v>
      </c>
      <c r="C398" s="2">
        <v>45666</v>
      </c>
      <c r="D398" t="s">
        <v>17</v>
      </c>
      <c r="E398" t="s">
        <v>32</v>
      </c>
      <c r="F398" t="s">
        <v>19</v>
      </c>
      <c r="G398" t="s">
        <v>25</v>
      </c>
      <c r="H398" t="s">
        <v>26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63</v>
      </c>
    </row>
    <row r="399" spans="1:17">
      <c r="A399" t="s">
        <v>429</v>
      </c>
      <c r="B399">
        <f>COUNTIF($A$2:A399,A399)</f>
        <v>1</v>
      </c>
      <c r="C399" s="2">
        <v>45772</v>
      </c>
      <c r="D399" t="s">
        <v>17</v>
      </c>
      <c r="E399" t="s">
        <v>32</v>
      </c>
      <c r="F399" t="s">
        <v>24</v>
      </c>
      <c r="G399" t="s">
        <v>25</v>
      </c>
      <c r="H399" t="s">
        <v>26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Q399">
        <v>76.5</v>
      </c>
    </row>
    <row r="400" spans="1:17">
      <c r="A400" t="s">
        <v>430</v>
      </c>
      <c r="B400">
        <f>COUNTIF($A$2:A400,A400)</f>
        <v>1</v>
      </c>
      <c r="C400" s="2">
        <v>45728</v>
      </c>
      <c r="D400" t="s">
        <v>17</v>
      </c>
      <c r="E400" t="s">
        <v>18</v>
      </c>
      <c r="F400" t="s">
        <v>19</v>
      </c>
      <c r="G400" t="s">
        <v>29</v>
      </c>
      <c r="H400" t="s">
        <v>26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39.700000000000003</v>
      </c>
    </row>
    <row r="401" spans="1:17">
      <c r="A401" t="s">
        <v>431</v>
      </c>
      <c r="B401">
        <f>COUNTIF($A$2:A401,A401)</f>
        <v>1</v>
      </c>
      <c r="C401" s="2">
        <v>45736</v>
      </c>
      <c r="D401" t="s">
        <v>17</v>
      </c>
      <c r="E401" t="s">
        <v>18</v>
      </c>
      <c r="F401" t="s">
        <v>24</v>
      </c>
      <c r="G401" t="s">
        <v>25</v>
      </c>
      <c r="H401" t="s">
        <v>26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80.2</v>
      </c>
    </row>
    <row r="402" spans="1:17">
      <c r="A402" t="s">
        <v>432</v>
      </c>
      <c r="B402">
        <f>COUNTIF($A$2:A402,A402)</f>
        <v>1</v>
      </c>
      <c r="C402" s="2">
        <v>45706</v>
      </c>
      <c r="D402" t="s">
        <v>17</v>
      </c>
      <c r="E402" t="s">
        <v>23</v>
      </c>
      <c r="F402" t="s">
        <v>24</v>
      </c>
      <c r="G402" t="s">
        <v>29</v>
      </c>
      <c r="H402" t="s">
        <v>26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Q402">
        <v>72.2</v>
      </c>
    </row>
    <row r="403" spans="1:17">
      <c r="A403" t="s">
        <v>433</v>
      </c>
      <c r="B403">
        <f>COUNTIF($A$2:A403,A403)</f>
        <v>1</v>
      </c>
      <c r="C403" s="2">
        <v>45679</v>
      </c>
      <c r="D403" t="s">
        <v>17</v>
      </c>
      <c r="E403" t="s">
        <v>18</v>
      </c>
      <c r="F403" t="s">
        <v>24</v>
      </c>
      <c r="G403" t="s">
        <v>41</v>
      </c>
      <c r="H403" t="s">
        <v>21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Q403">
        <v>56</v>
      </c>
    </row>
    <row r="404" spans="1:17">
      <c r="A404" t="s">
        <v>434</v>
      </c>
      <c r="B404">
        <f>COUNTIF($A$2:A404,A404)</f>
        <v>1</v>
      </c>
      <c r="C404" s="2">
        <v>45696</v>
      </c>
      <c r="D404" t="s">
        <v>17</v>
      </c>
      <c r="E404" t="s">
        <v>23</v>
      </c>
      <c r="F404" t="s">
        <v>24</v>
      </c>
      <c r="G404" t="s">
        <v>20</v>
      </c>
      <c r="H404" t="s">
        <v>21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Q404">
        <v>69.099999999999994</v>
      </c>
    </row>
    <row r="405" spans="1:17">
      <c r="A405" t="s">
        <v>435</v>
      </c>
      <c r="B405">
        <f>COUNTIF($A$2:A405,A405)</f>
        <v>1</v>
      </c>
      <c r="C405" s="2">
        <v>45677</v>
      </c>
      <c r="D405" t="s">
        <v>17</v>
      </c>
      <c r="E405" t="s">
        <v>18</v>
      </c>
      <c r="F405" t="s">
        <v>24</v>
      </c>
      <c r="G405" t="s">
        <v>20</v>
      </c>
      <c r="H405" t="s">
        <v>30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Q405">
        <v>70.599999999999994</v>
      </c>
    </row>
    <row r="406" spans="1:17">
      <c r="A406" t="s">
        <v>436</v>
      </c>
      <c r="B406">
        <f>COUNTIF($A$2:A406,A406)</f>
        <v>1</v>
      </c>
      <c r="C406" s="2">
        <v>45769</v>
      </c>
      <c r="D406" t="s">
        <v>17</v>
      </c>
      <c r="E406" t="s">
        <v>23</v>
      </c>
      <c r="F406" t="s">
        <v>19</v>
      </c>
      <c r="G406" t="s">
        <v>39</v>
      </c>
      <c r="H406" t="s">
        <v>26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Q406">
        <v>57.9</v>
      </c>
    </row>
    <row r="407" spans="1:17">
      <c r="A407" t="s">
        <v>437</v>
      </c>
      <c r="B407">
        <f>COUNTIF($A$2:A407,A407)</f>
        <v>1</v>
      </c>
      <c r="C407" s="2">
        <v>45679</v>
      </c>
      <c r="D407" t="s">
        <v>17</v>
      </c>
      <c r="E407" t="s">
        <v>28</v>
      </c>
      <c r="F407" t="s">
        <v>24</v>
      </c>
      <c r="G407" t="s">
        <v>25</v>
      </c>
      <c r="H407" t="s">
        <v>21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Q407">
        <v>41.4</v>
      </c>
    </row>
    <row r="408" spans="1:17">
      <c r="A408" t="s">
        <v>438</v>
      </c>
      <c r="B408">
        <f>COUNTIF($A$2:A408,A408)</f>
        <v>1</v>
      </c>
      <c r="C408" s="2">
        <v>45788</v>
      </c>
      <c r="D408" t="s">
        <v>17</v>
      </c>
      <c r="E408" t="s">
        <v>23</v>
      </c>
      <c r="F408" t="s">
        <v>24</v>
      </c>
      <c r="G408" t="s">
        <v>25</v>
      </c>
      <c r="H408" t="s">
        <v>21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Q408">
        <v>60.9</v>
      </c>
    </row>
    <row r="409" spans="1:17">
      <c r="A409" t="s">
        <v>439</v>
      </c>
      <c r="B409">
        <f>COUNTIF($A$2:A409,A409)</f>
        <v>1</v>
      </c>
      <c r="C409" s="2">
        <v>45694</v>
      </c>
      <c r="D409" t="s">
        <v>17</v>
      </c>
      <c r="E409" t="s">
        <v>32</v>
      </c>
      <c r="F409" t="s">
        <v>24</v>
      </c>
      <c r="G409" t="s">
        <v>25</v>
      </c>
      <c r="H409" t="s">
        <v>21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Q409">
        <v>63.8</v>
      </c>
    </row>
    <row r="410" spans="1:17">
      <c r="A410" t="s">
        <v>440</v>
      </c>
      <c r="B410">
        <f>COUNTIF($A$2:A410,A410)</f>
        <v>1</v>
      </c>
      <c r="C410" s="2">
        <v>45709</v>
      </c>
      <c r="D410" t="s">
        <v>17</v>
      </c>
      <c r="E410" t="s">
        <v>18</v>
      </c>
      <c r="F410" t="s">
        <v>19</v>
      </c>
      <c r="G410" t="s">
        <v>25</v>
      </c>
      <c r="H410" t="s">
        <v>30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Q410">
        <v>79.2</v>
      </c>
    </row>
    <row r="411" spans="1:17">
      <c r="A411" t="s">
        <v>441</v>
      </c>
      <c r="B411">
        <f>COUNTIF($A$2:A411,A411)</f>
        <v>1</v>
      </c>
      <c r="C411" s="2">
        <v>45670</v>
      </c>
      <c r="D411" t="s">
        <v>17</v>
      </c>
      <c r="E411" t="s">
        <v>23</v>
      </c>
      <c r="F411" t="s">
        <v>24</v>
      </c>
      <c r="G411" t="s">
        <v>20</v>
      </c>
      <c r="H411" t="s">
        <v>30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Q411">
        <v>53.3</v>
      </c>
    </row>
    <row r="412" spans="1:17">
      <c r="A412" t="s">
        <v>442</v>
      </c>
      <c r="B412">
        <f>COUNTIF($A$2:A412,A412)</f>
        <v>1</v>
      </c>
      <c r="C412" s="2">
        <v>45723</v>
      </c>
      <c r="D412" t="s">
        <v>17</v>
      </c>
      <c r="E412" t="s">
        <v>18</v>
      </c>
      <c r="F412" t="s">
        <v>24</v>
      </c>
      <c r="G412" t="s">
        <v>39</v>
      </c>
      <c r="H412" t="s">
        <v>30</v>
      </c>
      <c r="I412">
        <v>1</v>
      </c>
      <c r="J412">
        <v>1</v>
      </c>
      <c r="K412">
        <v>1</v>
      </c>
      <c r="L412">
        <v>1</v>
      </c>
      <c r="M412">
        <v>2144.8200000000002</v>
      </c>
      <c r="N412">
        <v>0</v>
      </c>
      <c r="O412">
        <v>0</v>
      </c>
      <c r="P412">
        <v>6</v>
      </c>
      <c r="Q412">
        <v>52.3</v>
      </c>
    </row>
    <row r="413" spans="1:17">
      <c r="A413" t="s">
        <v>443</v>
      </c>
      <c r="B413">
        <f>COUNTIF($A$2:A413,A413)</f>
        <v>1</v>
      </c>
      <c r="C413" s="2">
        <v>45714</v>
      </c>
      <c r="D413" t="s">
        <v>17</v>
      </c>
      <c r="E413" t="s">
        <v>23</v>
      </c>
      <c r="F413" t="s">
        <v>19</v>
      </c>
      <c r="G413" t="s">
        <v>25</v>
      </c>
      <c r="H413" t="s">
        <v>21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Q413">
        <v>62.4</v>
      </c>
    </row>
    <row r="414" spans="1:17">
      <c r="A414" t="s">
        <v>444</v>
      </c>
      <c r="B414">
        <f>COUNTIF($A$2:A414,A414)</f>
        <v>1</v>
      </c>
      <c r="C414" s="2">
        <v>45782</v>
      </c>
      <c r="D414" t="s">
        <v>17</v>
      </c>
      <c r="E414" t="s">
        <v>18</v>
      </c>
      <c r="F414" t="s">
        <v>24</v>
      </c>
      <c r="G414" t="s">
        <v>39</v>
      </c>
      <c r="H414" t="s">
        <v>30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Q414">
        <v>45.5</v>
      </c>
    </row>
    <row r="415" spans="1:17">
      <c r="A415" t="s">
        <v>445</v>
      </c>
      <c r="B415">
        <f>COUNTIF($A$2:A415,A415)</f>
        <v>1</v>
      </c>
      <c r="C415" s="2">
        <v>45665</v>
      </c>
      <c r="D415" t="s">
        <v>17</v>
      </c>
      <c r="E415" t="s">
        <v>28</v>
      </c>
      <c r="F415" t="s">
        <v>19</v>
      </c>
      <c r="G415" t="s">
        <v>25</v>
      </c>
      <c r="H415" t="s">
        <v>21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Q415">
        <v>72.599999999999994</v>
      </c>
    </row>
    <row r="416" spans="1:17">
      <c r="A416" t="s">
        <v>446</v>
      </c>
      <c r="B416">
        <f>COUNTIF($A$2:A416,A416)</f>
        <v>1</v>
      </c>
      <c r="C416" s="2">
        <v>45735</v>
      </c>
      <c r="D416" t="s">
        <v>17</v>
      </c>
      <c r="E416" t="s">
        <v>32</v>
      </c>
      <c r="F416" t="s">
        <v>24</v>
      </c>
      <c r="G416" t="s">
        <v>20</v>
      </c>
      <c r="H416" t="s">
        <v>30</v>
      </c>
      <c r="I416">
        <v>1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Q416">
        <v>50.1</v>
      </c>
    </row>
    <row r="417" spans="1:17">
      <c r="A417" t="s">
        <v>447</v>
      </c>
      <c r="B417">
        <f>COUNTIF($A$2:A417,A417)</f>
        <v>1</v>
      </c>
      <c r="C417" s="2">
        <v>45687</v>
      </c>
      <c r="D417" t="s">
        <v>17</v>
      </c>
      <c r="E417" t="s">
        <v>28</v>
      </c>
      <c r="F417" t="s">
        <v>19</v>
      </c>
      <c r="G417" t="s">
        <v>29</v>
      </c>
      <c r="H417" t="s">
        <v>26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2</v>
      </c>
      <c r="O417">
        <v>0</v>
      </c>
      <c r="Q417">
        <v>58.1</v>
      </c>
    </row>
    <row r="418" spans="1:17">
      <c r="A418" t="s">
        <v>448</v>
      </c>
      <c r="B418">
        <f>COUNTIF($A$2:A418,A418)</f>
        <v>1</v>
      </c>
      <c r="C418" s="2">
        <v>45775</v>
      </c>
      <c r="D418" t="s">
        <v>17</v>
      </c>
      <c r="E418" t="s">
        <v>28</v>
      </c>
      <c r="F418" t="s">
        <v>24</v>
      </c>
      <c r="G418" t="s">
        <v>25</v>
      </c>
      <c r="H418" t="s">
        <v>21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Q418">
        <v>42.9</v>
      </c>
    </row>
    <row r="419" spans="1:17">
      <c r="A419" t="s">
        <v>449</v>
      </c>
      <c r="B419">
        <f>COUNTIF($A$2:A419,A419)</f>
        <v>1</v>
      </c>
      <c r="C419" s="2">
        <v>45723</v>
      </c>
      <c r="D419" t="s">
        <v>17</v>
      </c>
      <c r="E419" t="s">
        <v>18</v>
      </c>
      <c r="F419" t="s">
        <v>24</v>
      </c>
      <c r="G419" t="s">
        <v>39</v>
      </c>
      <c r="H419" t="s">
        <v>21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Q419">
        <v>69.7</v>
      </c>
    </row>
    <row r="420" spans="1:17">
      <c r="A420" t="s">
        <v>450</v>
      </c>
      <c r="B420">
        <f>COUNTIF($A$2:A420,A420)</f>
        <v>1</v>
      </c>
      <c r="C420" s="2">
        <v>45754</v>
      </c>
      <c r="D420" t="s">
        <v>17</v>
      </c>
      <c r="E420" t="s">
        <v>18</v>
      </c>
      <c r="F420" t="s">
        <v>19</v>
      </c>
      <c r="G420" t="s">
        <v>25</v>
      </c>
      <c r="H420" t="s">
        <v>26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Q420">
        <v>63.3</v>
      </c>
    </row>
    <row r="421" spans="1:17">
      <c r="A421" t="s">
        <v>451</v>
      </c>
      <c r="B421">
        <f>COUNTIF($A$2:A421,A421)</f>
        <v>1</v>
      </c>
      <c r="C421" s="2">
        <v>45785</v>
      </c>
      <c r="D421" t="s">
        <v>17</v>
      </c>
      <c r="E421" t="s">
        <v>18</v>
      </c>
      <c r="F421" t="s">
        <v>19</v>
      </c>
      <c r="G421" t="s">
        <v>25</v>
      </c>
      <c r="H421" t="s">
        <v>30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Q421">
        <v>71.2</v>
      </c>
    </row>
    <row r="422" spans="1:17">
      <c r="A422" t="s">
        <v>452</v>
      </c>
      <c r="B422">
        <f>COUNTIF($A$2:A422,A422)</f>
        <v>1</v>
      </c>
      <c r="C422" s="2">
        <v>45762</v>
      </c>
      <c r="D422" t="s">
        <v>17</v>
      </c>
      <c r="E422" t="s">
        <v>32</v>
      </c>
      <c r="F422" t="s">
        <v>24</v>
      </c>
      <c r="G422" t="s">
        <v>20</v>
      </c>
      <c r="H422" t="s">
        <v>26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Q422">
        <v>39.1</v>
      </c>
    </row>
    <row r="423" spans="1:17">
      <c r="A423" t="s">
        <v>453</v>
      </c>
      <c r="B423">
        <f>COUNTIF($A$2:A423,A423)</f>
        <v>1</v>
      </c>
      <c r="C423" s="2">
        <v>45767</v>
      </c>
      <c r="D423" t="s">
        <v>17</v>
      </c>
      <c r="E423" t="s">
        <v>28</v>
      </c>
      <c r="F423" t="s">
        <v>19</v>
      </c>
      <c r="G423" t="s">
        <v>41</v>
      </c>
      <c r="H423" t="s">
        <v>26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Q423">
        <v>42.6</v>
      </c>
    </row>
    <row r="424" spans="1:17">
      <c r="A424" t="s">
        <v>454</v>
      </c>
      <c r="B424">
        <f>COUNTIF($A$2:A424,A424)</f>
        <v>1</v>
      </c>
      <c r="C424" s="2">
        <v>45807</v>
      </c>
      <c r="D424" t="s">
        <v>17</v>
      </c>
      <c r="E424" t="s">
        <v>32</v>
      </c>
      <c r="F424" t="s">
        <v>34</v>
      </c>
      <c r="G424" t="s">
        <v>25</v>
      </c>
      <c r="H424" t="s">
        <v>26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Q424">
        <v>74.400000000000006</v>
      </c>
    </row>
    <row r="425" spans="1:17">
      <c r="A425" t="s">
        <v>455</v>
      </c>
      <c r="B425">
        <f>COUNTIF($A$2:A425,A425)</f>
        <v>1</v>
      </c>
      <c r="C425" s="2">
        <v>45701</v>
      </c>
      <c r="D425" t="s">
        <v>17</v>
      </c>
      <c r="E425" t="s">
        <v>23</v>
      </c>
      <c r="F425" t="s">
        <v>24</v>
      </c>
      <c r="G425" t="s">
        <v>39</v>
      </c>
      <c r="H425" t="s">
        <v>26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Q425">
        <v>55.6</v>
      </c>
    </row>
    <row r="426" spans="1:17">
      <c r="A426" t="s">
        <v>456</v>
      </c>
      <c r="B426">
        <f>COUNTIF($A$2:A426,A426)</f>
        <v>1</v>
      </c>
      <c r="C426" s="2">
        <v>45775</v>
      </c>
      <c r="D426" t="s">
        <v>17</v>
      </c>
      <c r="E426" t="s">
        <v>23</v>
      </c>
      <c r="F426" t="s">
        <v>24</v>
      </c>
      <c r="G426" t="s">
        <v>41</v>
      </c>
      <c r="H426" t="s">
        <v>26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Q426">
        <v>35.799999999999997</v>
      </c>
    </row>
    <row r="427" spans="1:17">
      <c r="A427" t="s">
        <v>457</v>
      </c>
      <c r="B427">
        <f>COUNTIF($A$2:A427,A427)</f>
        <v>1</v>
      </c>
      <c r="C427" s="2">
        <v>45700</v>
      </c>
      <c r="D427" t="s">
        <v>17</v>
      </c>
      <c r="E427" t="s">
        <v>18</v>
      </c>
      <c r="F427" t="s">
        <v>24</v>
      </c>
      <c r="G427" t="s">
        <v>29</v>
      </c>
      <c r="H427" t="s">
        <v>21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Q427">
        <v>28.2</v>
      </c>
    </row>
    <row r="428" spans="1:17">
      <c r="A428" t="s">
        <v>458</v>
      </c>
      <c r="B428">
        <f>COUNTIF($A$2:A428,A428)</f>
        <v>1</v>
      </c>
      <c r="C428" s="2">
        <v>45700</v>
      </c>
      <c r="D428" t="s">
        <v>17</v>
      </c>
      <c r="E428" t="s">
        <v>28</v>
      </c>
      <c r="F428" t="s">
        <v>24</v>
      </c>
      <c r="G428" t="s">
        <v>25</v>
      </c>
      <c r="H428" t="s">
        <v>26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</v>
      </c>
      <c r="O428">
        <v>0</v>
      </c>
      <c r="Q428">
        <v>44.4</v>
      </c>
    </row>
    <row r="429" spans="1:17">
      <c r="A429" t="s">
        <v>459</v>
      </c>
      <c r="B429">
        <f>COUNTIF($A$2:A429,A429)</f>
        <v>1</v>
      </c>
      <c r="C429" s="2">
        <v>45743</v>
      </c>
      <c r="D429" t="s">
        <v>17</v>
      </c>
      <c r="E429" t="s">
        <v>18</v>
      </c>
      <c r="F429" t="s">
        <v>24</v>
      </c>
      <c r="G429" t="s">
        <v>20</v>
      </c>
      <c r="H429" t="s">
        <v>30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Q429">
        <v>49.9</v>
      </c>
    </row>
    <row r="430" spans="1:17">
      <c r="A430" t="s">
        <v>460</v>
      </c>
      <c r="B430">
        <f>COUNTIF($A$2:A430,A430)</f>
        <v>1</v>
      </c>
      <c r="C430" s="2">
        <v>45759</v>
      </c>
      <c r="D430" t="s">
        <v>17</v>
      </c>
      <c r="E430" t="s">
        <v>32</v>
      </c>
      <c r="F430" t="s">
        <v>19</v>
      </c>
      <c r="G430" t="s">
        <v>25</v>
      </c>
      <c r="H430" t="s">
        <v>26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Q430">
        <v>40.4</v>
      </c>
    </row>
    <row r="431" spans="1:17">
      <c r="A431" t="s">
        <v>461</v>
      </c>
      <c r="B431">
        <f>COUNTIF($A$2:A431,A431)</f>
        <v>1</v>
      </c>
      <c r="C431" s="2">
        <v>45687</v>
      </c>
      <c r="D431" t="s">
        <v>17</v>
      </c>
      <c r="E431" t="s">
        <v>23</v>
      </c>
      <c r="F431" t="s">
        <v>24</v>
      </c>
      <c r="G431" t="s">
        <v>41</v>
      </c>
      <c r="H431" t="s">
        <v>26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Q431">
        <v>60.4</v>
      </c>
    </row>
    <row r="432" spans="1:17">
      <c r="A432" t="s">
        <v>462</v>
      </c>
      <c r="B432">
        <f>COUNTIF($A$2:A432,A432)</f>
        <v>1</v>
      </c>
      <c r="C432" s="2">
        <v>45805</v>
      </c>
      <c r="D432" t="s">
        <v>17</v>
      </c>
      <c r="E432" t="s">
        <v>23</v>
      </c>
      <c r="F432" t="s">
        <v>24</v>
      </c>
      <c r="G432" t="s">
        <v>41</v>
      </c>
      <c r="H432" t="s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Q432">
        <v>52.4</v>
      </c>
    </row>
    <row r="433" spans="1:17">
      <c r="A433" t="s">
        <v>463</v>
      </c>
      <c r="B433">
        <f>COUNTIF($A$2:A433,A433)</f>
        <v>1</v>
      </c>
      <c r="C433" s="2">
        <v>45778</v>
      </c>
      <c r="D433" t="s">
        <v>17</v>
      </c>
      <c r="E433" t="s">
        <v>32</v>
      </c>
      <c r="F433" t="s">
        <v>24</v>
      </c>
      <c r="G433" t="s">
        <v>25</v>
      </c>
      <c r="H433" t="s">
        <v>21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48.8</v>
      </c>
    </row>
    <row r="434" spans="1:17">
      <c r="A434" t="s">
        <v>464</v>
      </c>
      <c r="B434">
        <f>COUNTIF($A$2:A434,A434)</f>
        <v>1</v>
      </c>
      <c r="C434" s="2">
        <v>45691</v>
      </c>
      <c r="D434" t="s">
        <v>17</v>
      </c>
      <c r="E434" t="s">
        <v>18</v>
      </c>
      <c r="F434" t="s">
        <v>34</v>
      </c>
      <c r="G434" t="s">
        <v>20</v>
      </c>
      <c r="H434" t="s">
        <v>21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Q434">
        <v>60.9</v>
      </c>
    </row>
    <row r="435" spans="1:17">
      <c r="A435" t="s">
        <v>465</v>
      </c>
      <c r="B435">
        <f>COUNTIF($A$2:A435,A435)</f>
        <v>1</v>
      </c>
      <c r="C435" s="2">
        <v>45667</v>
      </c>
      <c r="D435" t="s">
        <v>17</v>
      </c>
      <c r="E435" t="s">
        <v>32</v>
      </c>
      <c r="F435" t="s">
        <v>19</v>
      </c>
      <c r="G435" t="s">
        <v>41</v>
      </c>
      <c r="H435" t="s">
        <v>21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Q435">
        <v>68.2</v>
      </c>
    </row>
    <row r="436" spans="1:17">
      <c r="A436" t="s">
        <v>466</v>
      </c>
      <c r="B436">
        <f>COUNTIF($A$2:A436,A436)</f>
        <v>1</v>
      </c>
      <c r="C436" s="2">
        <v>45779</v>
      </c>
      <c r="D436" t="s">
        <v>17</v>
      </c>
      <c r="E436" t="s">
        <v>18</v>
      </c>
      <c r="F436" t="s">
        <v>19</v>
      </c>
      <c r="G436" t="s">
        <v>25</v>
      </c>
      <c r="H436" t="s">
        <v>21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Q436">
        <v>65.599999999999994</v>
      </c>
    </row>
    <row r="437" spans="1:17">
      <c r="A437" t="s">
        <v>467</v>
      </c>
      <c r="B437">
        <f>COUNTIF($A$2:A437,A437)</f>
        <v>1</v>
      </c>
      <c r="C437" s="2">
        <v>45803</v>
      </c>
      <c r="D437" t="s">
        <v>17</v>
      </c>
      <c r="E437" t="s">
        <v>18</v>
      </c>
      <c r="F437" t="s">
        <v>19</v>
      </c>
      <c r="G437" t="s">
        <v>25</v>
      </c>
      <c r="H437" t="s">
        <v>21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65.400000000000006</v>
      </c>
    </row>
    <row r="438" spans="1:17">
      <c r="A438" t="s">
        <v>468</v>
      </c>
      <c r="B438">
        <f>COUNTIF($A$2:A438,A438)</f>
        <v>1</v>
      </c>
      <c r="C438" s="2">
        <v>45669</v>
      </c>
      <c r="D438" t="s">
        <v>17</v>
      </c>
      <c r="E438" t="s">
        <v>23</v>
      </c>
      <c r="F438" t="s">
        <v>24</v>
      </c>
      <c r="G438" t="s">
        <v>25</v>
      </c>
      <c r="H438" t="s">
        <v>21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78.900000000000006</v>
      </c>
    </row>
    <row r="439" spans="1:17">
      <c r="A439" t="s">
        <v>469</v>
      </c>
      <c r="B439">
        <f>COUNTIF($A$2:A439,A439)</f>
        <v>1</v>
      </c>
      <c r="C439" s="2">
        <v>45804</v>
      </c>
      <c r="D439" t="s">
        <v>17</v>
      </c>
      <c r="E439" t="s">
        <v>28</v>
      </c>
      <c r="F439" t="s">
        <v>24</v>
      </c>
      <c r="G439" t="s">
        <v>29</v>
      </c>
      <c r="H439" t="s">
        <v>21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Q439">
        <v>78.3</v>
      </c>
    </row>
    <row r="440" spans="1:17">
      <c r="A440" t="s">
        <v>470</v>
      </c>
      <c r="B440">
        <f>COUNTIF($A$2:A440,A440)</f>
        <v>1</v>
      </c>
      <c r="C440" s="2">
        <v>45799</v>
      </c>
      <c r="D440" t="s">
        <v>17</v>
      </c>
      <c r="E440" t="s">
        <v>23</v>
      </c>
      <c r="F440" t="s">
        <v>19</v>
      </c>
      <c r="G440" t="s">
        <v>20</v>
      </c>
      <c r="H440" t="s">
        <v>21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49.2</v>
      </c>
    </row>
    <row r="441" spans="1:17">
      <c r="A441" t="s">
        <v>471</v>
      </c>
      <c r="B441">
        <f>COUNTIF($A$2:A441,A441)</f>
        <v>1</v>
      </c>
      <c r="C441" s="2">
        <v>45748</v>
      </c>
      <c r="D441" t="s">
        <v>17</v>
      </c>
      <c r="E441" t="s">
        <v>28</v>
      </c>
      <c r="F441" t="s">
        <v>24</v>
      </c>
      <c r="G441" t="s">
        <v>41</v>
      </c>
      <c r="H441" t="s">
        <v>30</v>
      </c>
      <c r="I441">
        <v>1</v>
      </c>
      <c r="J441">
        <v>1</v>
      </c>
      <c r="K441">
        <v>1</v>
      </c>
      <c r="L441">
        <v>1</v>
      </c>
      <c r="M441">
        <v>1518.83</v>
      </c>
      <c r="N441">
        <v>0</v>
      </c>
      <c r="O441">
        <v>0</v>
      </c>
      <c r="P441">
        <v>9</v>
      </c>
      <c r="Q441">
        <v>32.200000000000003</v>
      </c>
    </row>
    <row r="442" spans="1:17">
      <c r="A442" t="s">
        <v>472</v>
      </c>
      <c r="B442">
        <f>COUNTIF($A$2:A442,A442)</f>
        <v>1</v>
      </c>
      <c r="C442" s="2">
        <v>45679</v>
      </c>
      <c r="D442" t="s">
        <v>17</v>
      </c>
      <c r="E442" t="s">
        <v>18</v>
      </c>
      <c r="F442" t="s">
        <v>24</v>
      </c>
      <c r="G442" t="s">
        <v>29</v>
      </c>
      <c r="H442" t="s">
        <v>21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Q442">
        <v>46.3</v>
      </c>
    </row>
    <row r="443" spans="1:17">
      <c r="A443" t="s">
        <v>473</v>
      </c>
      <c r="B443">
        <f>COUNTIF($A$2:A443,A443)</f>
        <v>1</v>
      </c>
      <c r="C443" s="2">
        <v>45801</v>
      </c>
      <c r="D443" t="s">
        <v>17</v>
      </c>
      <c r="E443" t="s">
        <v>28</v>
      </c>
      <c r="F443" t="s">
        <v>24</v>
      </c>
      <c r="G443" t="s">
        <v>29</v>
      </c>
      <c r="H443" t="s">
        <v>21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55.7</v>
      </c>
    </row>
    <row r="444" spans="1:17">
      <c r="A444" t="s">
        <v>474</v>
      </c>
      <c r="B444">
        <f>COUNTIF($A$2:A444,A444)</f>
        <v>1</v>
      </c>
      <c r="C444" s="2">
        <v>45772</v>
      </c>
      <c r="D444" t="s">
        <v>17</v>
      </c>
      <c r="E444" t="s">
        <v>32</v>
      </c>
      <c r="F444" t="s">
        <v>24</v>
      </c>
      <c r="G444" t="s">
        <v>41</v>
      </c>
      <c r="H444" t="s">
        <v>26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Q444">
        <v>44.5</v>
      </c>
    </row>
    <row r="445" spans="1:17">
      <c r="A445" t="s">
        <v>475</v>
      </c>
      <c r="B445">
        <f>COUNTIF($A$2:A445,A445)</f>
        <v>1</v>
      </c>
      <c r="C445" s="2">
        <v>45759</v>
      </c>
      <c r="D445" t="s">
        <v>17</v>
      </c>
      <c r="E445" t="s">
        <v>23</v>
      </c>
      <c r="F445" t="s">
        <v>19</v>
      </c>
      <c r="G445" t="s">
        <v>39</v>
      </c>
      <c r="H445" t="s">
        <v>26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0</v>
      </c>
      <c r="Q445">
        <v>47.9</v>
      </c>
    </row>
    <row r="446" spans="1:17">
      <c r="A446" t="s">
        <v>476</v>
      </c>
      <c r="B446">
        <f>COUNTIF($A$2:A446,A446)</f>
        <v>1</v>
      </c>
      <c r="C446" s="2">
        <v>45770</v>
      </c>
      <c r="D446" t="s">
        <v>17</v>
      </c>
      <c r="E446" t="s">
        <v>32</v>
      </c>
      <c r="F446" t="s">
        <v>24</v>
      </c>
      <c r="G446" t="s">
        <v>25</v>
      </c>
      <c r="H446" t="s">
        <v>30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Q446">
        <v>43.9</v>
      </c>
    </row>
    <row r="447" spans="1:17">
      <c r="A447" t="s">
        <v>477</v>
      </c>
      <c r="B447">
        <f>COUNTIF($A$2:A447,A447)</f>
        <v>1</v>
      </c>
      <c r="C447" s="2">
        <v>45746</v>
      </c>
      <c r="D447" t="s">
        <v>17</v>
      </c>
      <c r="E447" t="s">
        <v>18</v>
      </c>
      <c r="F447" t="s">
        <v>19</v>
      </c>
      <c r="G447" t="s">
        <v>39</v>
      </c>
      <c r="H447" t="s">
        <v>26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1</v>
      </c>
      <c r="O447">
        <v>0</v>
      </c>
      <c r="Q447">
        <v>67.7</v>
      </c>
    </row>
    <row r="448" spans="1:17">
      <c r="A448" t="s">
        <v>478</v>
      </c>
      <c r="B448">
        <f>COUNTIF($A$2:A448,A448)</f>
        <v>1</v>
      </c>
      <c r="C448" s="2">
        <v>45675</v>
      </c>
      <c r="D448" t="s">
        <v>17</v>
      </c>
      <c r="E448" t="s">
        <v>28</v>
      </c>
      <c r="F448" t="s">
        <v>24</v>
      </c>
      <c r="G448" t="s">
        <v>39</v>
      </c>
      <c r="H448" t="s">
        <v>21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43.7</v>
      </c>
    </row>
    <row r="449" spans="1:17">
      <c r="A449" t="s">
        <v>479</v>
      </c>
      <c r="B449">
        <f>COUNTIF($A$2:A449,A449)</f>
        <v>1</v>
      </c>
      <c r="C449" s="2">
        <v>45756</v>
      </c>
      <c r="D449" t="s">
        <v>17</v>
      </c>
      <c r="E449" t="s">
        <v>28</v>
      </c>
      <c r="F449" t="s">
        <v>24</v>
      </c>
      <c r="G449" t="s">
        <v>25</v>
      </c>
      <c r="H449" t="s">
        <v>26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68.8</v>
      </c>
    </row>
    <row r="450" spans="1:17">
      <c r="A450" t="s">
        <v>480</v>
      </c>
      <c r="B450">
        <f>COUNTIF($A$2:A450,A450)</f>
        <v>1</v>
      </c>
      <c r="C450" s="2">
        <v>45668</v>
      </c>
      <c r="D450" t="s">
        <v>17</v>
      </c>
      <c r="E450" t="s">
        <v>23</v>
      </c>
      <c r="F450" t="s">
        <v>24</v>
      </c>
      <c r="G450" t="s">
        <v>25</v>
      </c>
      <c r="H450" t="s">
        <v>26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Q450">
        <v>59.2</v>
      </c>
    </row>
    <row r="451" spans="1:17">
      <c r="A451" t="s">
        <v>481</v>
      </c>
      <c r="B451">
        <f>COUNTIF($A$2:A451,A451)</f>
        <v>1</v>
      </c>
      <c r="C451" s="2">
        <v>45721</v>
      </c>
      <c r="D451" t="s">
        <v>17</v>
      </c>
      <c r="E451" t="s">
        <v>28</v>
      </c>
      <c r="F451" t="s">
        <v>24</v>
      </c>
      <c r="G451" t="s">
        <v>29</v>
      </c>
      <c r="H451" t="s">
        <v>26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Q451">
        <v>48.6</v>
      </c>
    </row>
    <row r="452" spans="1:17">
      <c r="A452" t="s">
        <v>482</v>
      </c>
      <c r="B452">
        <f>COUNTIF($A$2:A452,A452)</f>
        <v>1</v>
      </c>
      <c r="C452" s="2">
        <v>45705</v>
      </c>
      <c r="D452" t="s">
        <v>17</v>
      </c>
      <c r="E452" t="s">
        <v>18</v>
      </c>
      <c r="F452" t="s">
        <v>34</v>
      </c>
      <c r="G452" t="s">
        <v>41</v>
      </c>
      <c r="H452" t="s">
        <v>26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Q452">
        <v>56.9</v>
      </c>
    </row>
    <row r="453" spans="1:17">
      <c r="A453" t="s">
        <v>483</v>
      </c>
      <c r="B453">
        <f>COUNTIF($A$2:A453,A453)</f>
        <v>1</v>
      </c>
      <c r="C453" s="2">
        <v>45784</v>
      </c>
      <c r="D453" t="s">
        <v>17</v>
      </c>
      <c r="E453" t="s">
        <v>18</v>
      </c>
      <c r="F453" t="s">
        <v>19</v>
      </c>
      <c r="G453" t="s">
        <v>29</v>
      </c>
      <c r="H453" t="s">
        <v>26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55.8</v>
      </c>
    </row>
    <row r="454" spans="1:17">
      <c r="A454" t="s">
        <v>484</v>
      </c>
      <c r="B454">
        <f>COUNTIF($A$2:A454,A454)</f>
        <v>1</v>
      </c>
      <c r="C454" s="2">
        <v>45757</v>
      </c>
      <c r="D454" t="s">
        <v>17</v>
      </c>
      <c r="E454" t="s">
        <v>28</v>
      </c>
      <c r="F454" t="s">
        <v>24</v>
      </c>
      <c r="G454" t="s">
        <v>29</v>
      </c>
      <c r="H454" t="s">
        <v>30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63.3</v>
      </c>
    </row>
    <row r="455" spans="1:17">
      <c r="A455" t="s">
        <v>485</v>
      </c>
      <c r="B455">
        <f>COUNTIF($A$2:A455,A455)</f>
        <v>1</v>
      </c>
      <c r="C455" s="2">
        <v>45768</v>
      </c>
      <c r="D455" t="s">
        <v>17</v>
      </c>
      <c r="E455" t="s">
        <v>18</v>
      </c>
      <c r="F455" t="s">
        <v>24</v>
      </c>
      <c r="G455" t="s">
        <v>41</v>
      </c>
      <c r="H455" t="s">
        <v>26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52.2</v>
      </c>
    </row>
    <row r="456" spans="1:17">
      <c r="A456" t="s">
        <v>486</v>
      </c>
      <c r="B456">
        <f>COUNTIF($A$2:A456,A456)</f>
        <v>1</v>
      </c>
      <c r="C456" s="2">
        <v>45713</v>
      </c>
      <c r="D456" t="s">
        <v>17</v>
      </c>
      <c r="E456" t="s">
        <v>32</v>
      </c>
      <c r="F456" t="s">
        <v>34</v>
      </c>
      <c r="H456" t="s">
        <v>26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51.5</v>
      </c>
    </row>
    <row r="457" spans="1:17">
      <c r="A457" t="s">
        <v>487</v>
      </c>
      <c r="B457">
        <f>COUNTIF($A$2:A457,A457)</f>
        <v>1</v>
      </c>
      <c r="C457" s="2">
        <v>45791</v>
      </c>
      <c r="D457" t="s">
        <v>17</v>
      </c>
      <c r="E457" t="s">
        <v>28</v>
      </c>
      <c r="F457" t="s">
        <v>19</v>
      </c>
      <c r="G457" t="s">
        <v>25</v>
      </c>
      <c r="H457" t="s">
        <v>26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50.3</v>
      </c>
    </row>
    <row r="458" spans="1:17">
      <c r="A458" t="s">
        <v>488</v>
      </c>
      <c r="B458">
        <f>COUNTIF($A$2:A458,A458)</f>
        <v>1</v>
      </c>
      <c r="C458" s="2">
        <v>45726</v>
      </c>
      <c r="D458" t="s">
        <v>17</v>
      </c>
      <c r="E458" t="s">
        <v>18</v>
      </c>
      <c r="F458" t="s">
        <v>24</v>
      </c>
      <c r="G458" t="s">
        <v>20</v>
      </c>
      <c r="H458" t="s">
        <v>21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Q458">
        <v>35.4</v>
      </c>
    </row>
    <row r="459" spans="1:17">
      <c r="A459" t="s">
        <v>489</v>
      </c>
      <c r="B459">
        <f>COUNTIF($A$2:A459,A459)</f>
        <v>1</v>
      </c>
      <c r="C459" s="2">
        <v>45688</v>
      </c>
      <c r="D459" t="s">
        <v>17</v>
      </c>
      <c r="E459" t="s">
        <v>23</v>
      </c>
      <c r="F459" t="s">
        <v>19</v>
      </c>
      <c r="G459" t="s">
        <v>25</v>
      </c>
      <c r="H459" t="s">
        <v>30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Q459">
        <v>54.1</v>
      </c>
    </row>
    <row r="460" spans="1:17">
      <c r="A460" t="s">
        <v>490</v>
      </c>
      <c r="B460">
        <f>COUNTIF($A$2:A460,A460)</f>
        <v>1</v>
      </c>
      <c r="C460" s="2">
        <v>45674</v>
      </c>
      <c r="D460" t="s">
        <v>17</v>
      </c>
      <c r="E460" t="s">
        <v>32</v>
      </c>
      <c r="F460" t="s">
        <v>24</v>
      </c>
      <c r="G460" t="s">
        <v>25</v>
      </c>
      <c r="H460" t="s">
        <v>30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56.2</v>
      </c>
    </row>
    <row r="461" spans="1:17">
      <c r="A461" t="s">
        <v>491</v>
      </c>
      <c r="B461">
        <f>COUNTIF($A$2:A461,A461)</f>
        <v>1</v>
      </c>
      <c r="C461" s="2">
        <v>45728</v>
      </c>
      <c r="D461" t="s">
        <v>17</v>
      </c>
      <c r="E461" t="s">
        <v>32</v>
      </c>
      <c r="F461" t="s">
        <v>24</v>
      </c>
      <c r="G461" t="s">
        <v>29</v>
      </c>
      <c r="H461" t="s">
        <v>26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</v>
      </c>
      <c r="O461">
        <v>0</v>
      </c>
      <c r="Q461">
        <v>43.7</v>
      </c>
    </row>
    <row r="462" spans="1:17">
      <c r="A462" t="s">
        <v>492</v>
      </c>
      <c r="B462">
        <f>COUNTIF($A$2:A462,A462)</f>
        <v>1</v>
      </c>
      <c r="C462" s="2">
        <v>45716</v>
      </c>
      <c r="D462" t="s">
        <v>17</v>
      </c>
      <c r="E462" t="s">
        <v>23</v>
      </c>
      <c r="F462" t="s">
        <v>19</v>
      </c>
      <c r="G462" t="s">
        <v>25</v>
      </c>
      <c r="H462" t="s">
        <v>30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51.3</v>
      </c>
    </row>
    <row r="463" spans="1:17">
      <c r="A463" t="s">
        <v>493</v>
      </c>
      <c r="B463">
        <f>COUNTIF($A$2:A463,A463)</f>
        <v>1</v>
      </c>
      <c r="C463" s="2">
        <v>45796</v>
      </c>
      <c r="D463" t="s">
        <v>17</v>
      </c>
      <c r="E463" t="s">
        <v>18</v>
      </c>
      <c r="G463" t="s">
        <v>25</v>
      </c>
      <c r="H463" t="s">
        <v>21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50.5</v>
      </c>
    </row>
    <row r="464" spans="1:17">
      <c r="A464" t="s">
        <v>494</v>
      </c>
      <c r="B464">
        <f>COUNTIF($A$2:A464,A464)</f>
        <v>1</v>
      </c>
      <c r="C464" s="2">
        <v>45711</v>
      </c>
      <c r="D464" t="s">
        <v>17</v>
      </c>
      <c r="E464" t="s">
        <v>18</v>
      </c>
      <c r="F464" t="s">
        <v>24</v>
      </c>
      <c r="G464" t="s">
        <v>39</v>
      </c>
      <c r="H464" t="s">
        <v>21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57.3</v>
      </c>
    </row>
    <row r="465" spans="1:17">
      <c r="A465" t="s">
        <v>495</v>
      </c>
      <c r="B465">
        <f>COUNTIF($A$2:A465,A465)</f>
        <v>1</v>
      </c>
      <c r="C465" s="2">
        <v>45708</v>
      </c>
      <c r="D465" t="s">
        <v>17</v>
      </c>
      <c r="E465" t="s">
        <v>23</v>
      </c>
      <c r="F465" t="s">
        <v>19</v>
      </c>
      <c r="G465" t="s">
        <v>25</v>
      </c>
      <c r="H465" t="s">
        <v>26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Q465">
        <v>58.4</v>
      </c>
    </row>
    <row r="466" spans="1:17">
      <c r="A466" t="s">
        <v>496</v>
      </c>
      <c r="B466">
        <f>COUNTIF($A$2:A466,A466)</f>
        <v>1</v>
      </c>
      <c r="C466" s="2">
        <v>45759</v>
      </c>
      <c r="D466" t="s">
        <v>17</v>
      </c>
      <c r="E466" t="s">
        <v>18</v>
      </c>
      <c r="F466" t="s">
        <v>24</v>
      </c>
      <c r="H466" t="s">
        <v>26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56.5</v>
      </c>
    </row>
    <row r="467" spans="1:17">
      <c r="A467" t="s">
        <v>497</v>
      </c>
      <c r="B467">
        <f>COUNTIF($A$2:A467,A467)</f>
        <v>1</v>
      </c>
      <c r="C467" s="2">
        <v>45665</v>
      </c>
      <c r="D467" t="s">
        <v>17</v>
      </c>
      <c r="E467" t="s">
        <v>23</v>
      </c>
      <c r="F467" t="s">
        <v>24</v>
      </c>
      <c r="G467" t="s">
        <v>20</v>
      </c>
      <c r="H467" t="s">
        <v>26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69.599999999999994</v>
      </c>
    </row>
    <row r="468" spans="1:17">
      <c r="A468" t="s">
        <v>498</v>
      </c>
      <c r="B468">
        <f>COUNTIF($A$2:A468,A468)</f>
        <v>1</v>
      </c>
      <c r="C468" s="2">
        <v>45701</v>
      </c>
      <c r="D468" t="s">
        <v>17</v>
      </c>
      <c r="E468" t="s">
        <v>23</v>
      </c>
      <c r="F468" t="s">
        <v>24</v>
      </c>
      <c r="G468" t="s">
        <v>25</v>
      </c>
      <c r="H468" t="s">
        <v>21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6.2</v>
      </c>
    </row>
    <row r="469" spans="1:17">
      <c r="A469" t="s">
        <v>499</v>
      </c>
      <c r="B469">
        <f>COUNTIF($A$2:A469,A469)</f>
        <v>1</v>
      </c>
      <c r="C469" s="2">
        <v>45798</v>
      </c>
      <c r="D469" t="s">
        <v>17</v>
      </c>
      <c r="E469" t="s">
        <v>28</v>
      </c>
      <c r="F469" t="s">
        <v>19</v>
      </c>
      <c r="G469" t="s">
        <v>20</v>
      </c>
      <c r="H469" t="s">
        <v>26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Q469">
        <v>54.3</v>
      </c>
    </row>
    <row r="470" spans="1:17">
      <c r="A470" t="s">
        <v>500</v>
      </c>
      <c r="B470">
        <f>COUNTIF($A$2:A470,A470)</f>
        <v>1</v>
      </c>
      <c r="C470" s="2">
        <v>45807</v>
      </c>
      <c r="D470" t="s">
        <v>17</v>
      </c>
      <c r="E470" t="s">
        <v>18</v>
      </c>
      <c r="F470" t="s">
        <v>24</v>
      </c>
      <c r="G470" t="s">
        <v>25</v>
      </c>
      <c r="H470" t="s">
        <v>21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59.8</v>
      </c>
    </row>
    <row r="471" spans="1:17">
      <c r="A471" t="s">
        <v>501</v>
      </c>
      <c r="B471">
        <f>COUNTIF($A$2:A471,A471)</f>
        <v>1</v>
      </c>
      <c r="C471" s="2">
        <v>45797</v>
      </c>
      <c r="D471" t="s">
        <v>17</v>
      </c>
      <c r="E471" t="s">
        <v>23</v>
      </c>
      <c r="F471" t="s">
        <v>24</v>
      </c>
      <c r="G471" t="s">
        <v>29</v>
      </c>
      <c r="H471" t="s">
        <v>26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58.9</v>
      </c>
    </row>
    <row r="472" spans="1:17">
      <c r="A472" t="s">
        <v>502</v>
      </c>
      <c r="B472">
        <f>COUNTIF($A$2:A472,A472)</f>
        <v>1</v>
      </c>
      <c r="C472" s="2">
        <v>45666</v>
      </c>
      <c r="D472" t="s">
        <v>17</v>
      </c>
      <c r="E472" t="s">
        <v>28</v>
      </c>
      <c r="F472" t="s">
        <v>19</v>
      </c>
      <c r="G472" t="s">
        <v>25</v>
      </c>
      <c r="H472" t="s">
        <v>26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Q472">
        <v>52.9</v>
      </c>
    </row>
    <row r="473" spans="1:17">
      <c r="A473" t="s">
        <v>503</v>
      </c>
      <c r="B473">
        <f>COUNTIF($A$2:A473,A473)</f>
        <v>1</v>
      </c>
      <c r="C473" s="2">
        <v>45723</v>
      </c>
      <c r="D473" t="s">
        <v>17</v>
      </c>
      <c r="E473" t="s">
        <v>23</v>
      </c>
      <c r="F473" t="s">
        <v>24</v>
      </c>
      <c r="G473" t="s">
        <v>25</v>
      </c>
      <c r="H473" t="s">
        <v>26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67.8</v>
      </c>
    </row>
    <row r="474" spans="1:17">
      <c r="A474" t="s">
        <v>504</v>
      </c>
      <c r="B474">
        <f>COUNTIF($A$2:A474,A474)</f>
        <v>1</v>
      </c>
      <c r="C474" s="2">
        <v>45770</v>
      </c>
      <c r="D474" t="s">
        <v>17</v>
      </c>
      <c r="E474" t="s">
        <v>32</v>
      </c>
      <c r="F474" t="s">
        <v>24</v>
      </c>
      <c r="G474" t="s">
        <v>41</v>
      </c>
      <c r="H474" t="s">
        <v>26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48.7</v>
      </c>
    </row>
    <row r="475" spans="1:17">
      <c r="A475" t="s">
        <v>505</v>
      </c>
      <c r="B475">
        <f>COUNTIF($A$2:A475,A475)</f>
        <v>1</v>
      </c>
      <c r="C475" s="2">
        <v>45724</v>
      </c>
      <c r="D475" t="s">
        <v>17</v>
      </c>
      <c r="E475" t="s">
        <v>28</v>
      </c>
      <c r="F475" t="s">
        <v>24</v>
      </c>
      <c r="G475" t="s">
        <v>25</v>
      </c>
      <c r="H475" t="s">
        <v>21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59</v>
      </c>
    </row>
    <row r="476" spans="1:17">
      <c r="A476" t="s">
        <v>506</v>
      </c>
      <c r="B476">
        <f>COUNTIF($A$2:A476,A476)</f>
        <v>1</v>
      </c>
      <c r="C476" s="2">
        <v>45702</v>
      </c>
      <c r="D476" t="s">
        <v>17</v>
      </c>
      <c r="E476" t="s">
        <v>32</v>
      </c>
      <c r="F476" t="s">
        <v>24</v>
      </c>
      <c r="G476" t="s">
        <v>39</v>
      </c>
      <c r="H476" t="s">
        <v>26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63.2</v>
      </c>
    </row>
    <row r="477" spans="1:17">
      <c r="A477" t="s">
        <v>507</v>
      </c>
      <c r="B477">
        <f>COUNTIF($A$2:A477,A477)</f>
        <v>1</v>
      </c>
      <c r="C477" s="2">
        <v>45794</v>
      </c>
      <c r="D477" t="s">
        <v>17</v>
      </c>
      <c r="E477" t="s">
        <v>23</v>
      </c>
      <c r="F477" t="s">
        <v>24</v>
      </c>
      <c r="G477" t="s">
        <v>39</v>
      </c>
      <c r="H477" t="s">
        <v>21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68.7</v>
      </c>
    </row>
    <row r="478" spans="1:17">
      <c r="A478" t="s">
        <v>508</v>
      </c>
      <c r="B478">
        <f>COUNTIF($A$2:A478,A478)</f>
        <v>1</v>
      </c>
      <c r="C478" s="2">
        <v>45772</v>
      </c>
      <c r="D478" t="s">
        <v>17</v>
      </c>
      <c r="E478" t="s">
        <v>32</v>
      </c>
      <c r="F478" t="s">
        <v>24</v>
      </c>
      <c r="G478" t="s">
        <v>39</v>
      </c>
      <c r="H478" t="s">
        <v>26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52.1</v>
      </c>
    </row>
    <row r="479" spans="1:17">
      <c r="A479" t="s">
        <v>509</v>
      </c>
      <c r="B479">
        <f>COUNTIF($A$2:A479,A479)</f>
        <v>1</v>
      </c>
      <c r="C479" s="2">
        <v>45720</v>
      </c>
      <c r="D479" t="s">
        <v>17</v>
      </c>
      <c r="E479" t="s">
        <v>32</v>
      </c>
      <c r="F479" t="s">
        <v>19</v>
      </c>
      <c r="G479" t="s">
        <v>41</v>
      </c>
      <c r="H479" t="s">
        <v>21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56.5</v>
      </c>
    </row>
    <row r="480" spans="1:17">
      <c r="A480" t="s">
        <v>510</v>
      </c>
      <c r="B480">
        <f>COUNTIF($A$2:A480,A480)</f>
        <v>1</v>
      </c>
      <c r="C480" s="2">
        <v>45734</v>
      </c>
      <c r="D480" t="s">
        <v>17</v>
      </c>
      <c r="E480" t="s">
        <v>32</v>
      </c>
      <c r="F480" t="s">
        <v>24</v>
      </c>
      <c r="G480" t="s">
        <v>25</v>
      </c>
      <c r="H480" t="s">
        <v>26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64.400000000000006</v>
      </c>
    </row>
    <row r="481" spans="1:17">
      <c r="A481" t="s">
        <v>511</v>
      </c>
      <c r="B481">
        <f>COUNTIF($A$2:A481,A481)</f>
        <v>1</v>
      </c>
      <c r="C481" s="2">
        <v>45687</v>
      </c>
      <c r="D481" t="s">
        <v>17</v>
      </c>
      <c r="E481" t="s">
        <v>23</v>
      </c>
      <c r="F481" t="s">
        <v>24</v>
      </c>
      <c r="G481" t="s">
        <v>29</v>
      </c>
      <c r="H481" t="s">
        <v>30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65.900000000000006</v>
      </c>
    </row>
    <row r="482" spans="1:17">
      <c r="A482" t="s">
        <v>512</v>
      </c>
      <c r="B482">
        <f>COUNTIF($A$2:A482,A482)</f>
        <v>1</v>
      </c>
      <c r="C482" s="2">
        <v>45797</v>
      </c>
      <c r="D482" t="s">
        <v>17</v>
      </c>
      <c r="E482" t="s">
        <v>23</v>
      </c>
      <c r="F482" t="s">
        <v>34</v>
      </c>
      <c r="G482" t="s">
        <v>39</v>
      </c>
      <c r="H482" t="s">
        <v>26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Q482">
        <v>100</v>
      </c>
    </row>
    <row r="483" spans="1:17">
      <c r="A483" t="s">
        <v>513</v>
      </c>
      <c r="B483">
        <f>COUNTIF($A$2:A483,A483)</f>
        <v>1</v>
      </c>
      <c r="C483" s="2">
        <v>45701</v>
      </c>
      <c r="D483" t="s">
        <v>17</v>
      </c>
      <c r="E483" t="s">
        <v>18</v>
      </c>
      <c r="G483" t="s">
        <v>25</v>
      </c>
      <c r="H483" t="s">
        <v>21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Q483">
        <v>50.4</v>
      </c>
    </row>
    <row r="484" spans="1:17">
      <c r="A484" t="s">
        <v>514</v>
      </c>
      <c r="B484">
        <f>COUNTIF($A$2:A484,A484)</f>
        <v>1</v>
      </c>
      <c r="C484" s="2">
        <v>45759</v>
      </c>
      <c r="D484" t="s">
        <v>17</v>
      </c>
      <c r="E484" t="s">
        <v>23</v>
      </c>
      <c r="F484" t="s">
        <v>19</v>
      </c>
      <c r="G484" t="s">
        <v>25</v>
      </c>
      <c r="H484" t="s">
        <v>21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41.5</v>
      </c>
    </row>
    <row r="485" spans="1:17">
      <c r="A485" t="s">
        <v>515</v>
      </c>
      <c r="B485">
        <f>COUNTIF($A$2:A485,A485)</f>
        <v>1</v>
      </c>
      <c r="C485" s="2">
        <v>45754</v>
      </c>
      <c r="D485" t="s">
        <v>17</v>
      </c>
      <c r="E485" t="s">
        <v>18</v>
      </c>
      <c r="F485" t="s">
        <v>24</v>
      </c>
      <c r="G485" t="s">
        <v>20</v>
      </c>
      <c r="H485" t="s">
        <v>26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86.2</v>
      </c>
    </row>
    <row r="486" spans="1:17">
      <c r="A486" t="s">
        <v>516</v>
      </c>
      <c r="B486">
        <f>COUNTIF($A$2:A486,A486)</f>
        <v>1</v>
      </c>
      <c r="C486" s="2">
        <v>45728</v>
      </c>
      <c r="D486" t="s">
        <v>17</v>
      </c>
      <c r="E486" t="s">
        <v>18</v>
      </c>
      <c r="F486" t="s">
        <v>19</v>
      </c>
      <c r="G486" t="s">
        <v>41</v>
      </c>
      <c r="H486" t="s">
        <v>26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2</v>
      </c>
      <c r="O486">
        <v>0</v>
      </c>
      <c r="Q486">
        <v>50.8</v>
      </c>
    </row>
    <row r="487" spans="1:17">
      <c r="A487" t="s">
        <v>517</v>
      </c>
      <c r="B487">
        <f>COUNTIF($A$2:A487,A487)</f>
        <v>1</v>
      </c>
      <c r="C487" s="2">
        <v>45695</v>
      </c>
      <c r="D487" t="s">
        <v>17</v>
      </c>
      <c r="E487" t="s">
        <v>23</v>
      </c>
      <c r="F487" t="s">
        <v>24</v>
      </c>
      <c r="G487" t="s">
        <v>25</v>
      </c>
      <c r="H487" t="s">
        <v>26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50.9</v>
      </c>
    </row>
    <row r="488" spans="1:17">
      <c r="A488" t="s">
        <v>518</v>
      </c>
      <c r="B488">
        <f>COUNTIF($A$2:A488,A488)</f>
        <v>1</v>
      </c>
      <c r="C488" s="2">
        <v>45782</v>
      </c>
      <c r="D488" t="s">
        <v>17</v>
      </c>
      <c r="E488" t="s">
        <v>18</v>
      </c>
      <c r="F488" t="s">
        <v>24</v>
      </c>
      <c r="G488" t="s">
        <v>25</v>
      </c>
      <c r="H488" t="s">
        <v>30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87.5</v>
      </c>
    </row>
    <row r="489" spans="1:17">
      <c r="A489" t="s">
        <v>519</v>
      </c>
      <c r="B489">
        <f>COUNTIF($A$2:A489,A489)</f>
        <v>1</v>
      </c>
      <c r="C489" s="2">
        <v>45734</v>
      </c>
      <c r="D489" t="s">
        <v>17</v>
      </c>
      <c r="E489" t="s">
        <v>32</v>
      </c>
      <c r="F489" t="s">
        <v>24</v>
      </c>
      <c r="G489" t="s">
        <v>39</v>
      </c>
      <c r="H489" t="s">
        <v>26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43.6</v>
      </c>
    </row>
    <row r="490" spans="1:17">
      <c r="A490" t="s">
        <v>520</v>
      </c>
      <c r="B490">
        <f>COUNTIF($A$2:A490,A490)</f>
        <v>1</v>
      </c>
      <c r="C490" s="2">
        <v>45662</v>
      </c>
      <c r="D490" t="s">
        <v>17</v>
      </c>
      <c r="E490" t="s">
        <v>32</v>
      </c>
      <c r="F490" t="s">
        <v>24</v>
      </c>
      <c r="G490" t="s">
        <v>29</v>
      </c>
      <c r="H490" t="s">
        <v>21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55.5</v>
      </c>
    </row>
    <row r="491" spans="1:17">
      <c r="A491" t="s">
        <v>521</v>
      </c>
      <c r="B491">
        <f>COUNTIF($A$2:A491,A491)</f>
        <v>1</v>
      </c>
      <c r="C491" s="2">
        <v>45787</v>
      </c>
      <c r="D491" t="s">
        <v>17</v>
      </c>
      <c r="E491" t="s">
        <v>32</v>
      </c>
      <c r="F491" t="s">
        <v>19</v>
      </c>
      <c r="G491" t="s">
        <v>39</v>
      </c>
      <c r="H491" t="s">
        <v>21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78.599999999999994</v>
      </c>
    </row>
    <row r="492" spans="1:17">
      <c r="A492" t="s">
        <v>522</v>
      </c>
      <c r="B492">
        <f>COUNTIF($A$2:A492,A492)</f>
        <v>1</v>
      </c>
      <c r="C492" s="2">
        <v>45660</v>
      </c>
      <c r="D492" t="s">
        <v>17</v>
      </c>
      <c r="E492" t="s">
        <v>32</v>
      </c>
      <c r="F492" t="s">
        <v>24</v>
      </c>
      <c r="G492" t="s">
        <v>41</v>
      </c>
      <c r="H492" t="s">
        <v>21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Q492">
        <v>44.3</v>
      </c>
    </row>
    <row r="493" spans="1:17">
      <c r="A493" t="s">
        <v>523</v>
      </c>
      <c r="B493">
        <f>COUNTIF($A$2:A493,A493)</f>
        <v>1</v>
      </c>
      <c r="C493" s="2">
        <v>45785</v>
      </c>
      <c r="D493" t="s">
        <v>17</v>
      </c>
      <c r="E493" t="s">
        <v>32</v>
      </c>
      <c r="F493" t="s">
        <v>24</v>
      </c>
      <c r="G493" t="s">
        <v>29</v>
      </c>
      <c r="H493" t="s">
        <v>26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45.2</v>
      </c>
    </row>
    <row r="494" spans="1:17">
      <c r="A494" t="s">
        <v>524</v>
      </c>
      <c r="B494">
        <f>COUNTIF($A$2:A494,A494)</f>
        <v>1</v>
      </c>
      <c r="C494" s="2">
        <v>45721</v>
      </c>
      <c r="D494" t="s">
        <v>17</v>
      </c>
      <c r="E494" t="s">
        <v>32</v>
      </c>
      <c r="F494" t="s">
        <v>19</v>
      </c>
      <c r="G494" t="s">
        <v>20</v>
      </c>
      <c r="H494" t="s">
        <v>21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0</v>
      </c>
      <c r="Q494">
        <v>46.1</v>
      </c>
    </row>
    <row r="495" spans="1:17">
      <c r="A495" t="s">
        <v>525</v>
      </c>
      <c r="B495">
        <f>COUNTIF($A$2:A495,A495)</f>
        <v>1</v>
      </c>
      <c r="C495" s="2">
        <v>45705</v>
      </c>
      <c r="D495" t="s">
        <v>17</v>
      </c>
      <c r="E495" t="s">
        <v>18</v>
      </c>
      <c r="F495" t="s">
        <v>24</v>
      </c>
      <c r="G495" t="s">
        <v>25</v>
      </c>
      <c r="H495" t="s">
        <v>30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49.6</v>
      </c>
    </row>
    <row r="496" spans="1:17">
      <c r="A496" t="s">
        <v>526</v>
      </c>
      <c r="B496">
        <f>COUNTIF($A$2:A496,A496)</f>
        <v>1</v>
      </c>
      <c r="C496" s="2">
        <v>45666</v>
      </c>
      <c r="D496" t="s">
        <v>17</v>
      </c>
      <c r="E496" t="s">
        <v>32</v>
      </c>
      <c r="F496" t="s">
        <v>24</v>
      </c>
      <c r="G496" t="s">
        <v>39</v>
      </c>
      <c r="H496" t="s">
        <v>21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70.5</v>
      </c>
    </row>
    <row r="497" spans="1:17">
      <c r="A497" t="s">
        <v>527</v>
      </c>
      <c r="B497">
        <f>COUNTIF($A$2:A497,A497)</f>
        <v>1</v>
      </c>
      <c r="C497" s="2">
        <v>45782</v>
      </c>
      <c r="D497" t="s">
        <v>17</v>
      </c>
      <c r="E497" t="s">
        <v>32</v>
      </c>
      <c r="F497" t="s">
        <v>24</v>
      </c>
      <c r="G497" t="s">
        <v>20</v>
      </c>
      <c r="H497" t="s">
        <v>21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Q497">
        <v>60.8</v>
      </c>
    </row>
    <row r="498" spans="1:17">
      <c r="A498" t="s">
        <v>528</v>
      </c>
      <c r="B498">
        <f>COUNTIF($A$2:A498,A498)</f>
        <v>1</v>
      </c>
      <c r="C498" s="2">
        <v>45763</v>
      </c>
      <c r="D498" t="s">
        <v>17</v>
      </c>
      <c r="E498" t="s">
        <v>28</v>
      </c>
      <c r="F498" t="s">
        <v>24</v>
      </c>
      <c r="G498" t="s">
        <v>20</v>
      </c>
      <c r="H498" t="s">
        <v>21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Q498">
        <v>50.5</v>
      </c>
    </row>
    <row r="499" spans="1:17">
      <c r="A499" t="s">
        <v>529</v>
      </c>
      <c r="B499">
        <f>COUNTIF($A$2:A499,A499)</f>
        <v>1</v>
      </c>
      <c r="C499" s="2">
        <v>45718</v>
      </c>
      <c r="D499" t="s">
        <v>17</v>
      </c>
      <c r="E499" t="s">
        <v>32</v>
      </c>
      <c r="F499" t="s">
        <v>19</v>
      </c>
      <c r="G499" t="s">
        <v>25</v>
      </c>
      <c r="H499" t="s">
        <v>26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54.9</v>
      </c>
    </row>
    <row r="500" spans="1:17">
      <c r="A500" t="s">
        <v>530</v>
      </c>
      <c r="B500">
        <f>COUNTIF($A$2:A500,A500)</f>
        <v>1</v>
      </c>
      <c r="C500" s="2">
        <v>45761</v>
      </c>
      <c r="D500" t="s">
        <v>17</v>
      </c>
      <c r="E500" t="s">
        <v>32</v>
      </c>
      <c r="F500" t="s">
        <v>24</v>
      </c>
      <c r="G500" t="s">
        <v>41</v>
      </c>
      <c r="H500" t="s">
        <v>30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29.9</v>
      </c>
    </row>
    <row r="501" spans="1:17">
      <c r="A501" t="s">
        <v>531</v>
      </c>
      <c r="B501">
        <f>COUNTIF($A$2:A501,A501)</f>
        <v>1</v>
      </c>
      <c r="C501" s="2">
        <v>45703</v>
      </c>
      <c r="D501" t="s">
        <v>17</v>
      </c>
      <c r="E501" t="s">
        <v>28</v>
      </c>
      <c r="F501" t="s">
        <v>19</v>
      </c>
      <c r="G501" t="s">
        <v>29</v>
      </c>
      <c r="H501" t="s">
        <v>21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48.3</v>
      </c>
    </row>
    <row r="502" spans="1:17">
      <c r="A502" t="s">
        <v>532</v>
      </c>
      <c r="B502">
        <f>COUNTIF($A$2:A502,A502)</f>
        <v>1</v>
      </c>
      <c r="C502" s="2">
        <v>45701</v>
      </c>
      <c r="D502" t="s">
        <v>17</v>
      </c>
      <c r="E502" t="s">
        <v>23</v>
      </c>
      <c r="F502" t="s">
        <v>24</v>
      </c>
      <c r="G502" t="s">
        <v>41</v>
      </c>
      <c r="H502" t="s">
        <v>26</v>
      </c>
      <c r="I502">
        <v>1</v>
      </c>
      <c r="J502">
        <v>1</v>
      </c>
      <c r="K502">
        <v>1</v>
      </c>
      <c r="L502">
        <v>1</v>
      </c>
      <c r="M502">
        <v>513.61</v>
      </c>
      <c r="N502">
        <v>0</v>
      </c>
      <c r="O502">
        <v>0</v>
      </c>
      <c r="P502">
        <v>7</v>
      </c>
      <c r="Q502">
        <v>41.3</v>
      </c>
    </row>
    <row r="503" spans="1:17">
      <c r="A503" t="s">
        <v>533</v>
      </c>
      <c r="B503">
        <f>COUNTIF($A$2:A503,A503)</f>
        <v>1</v>
      </c>
      <c r="C503" s="2">
        <v>45722</v>
      </c>
      <c r="D503" t="s">
        <v>17</v>
      </c>
      <c r="E503" t="s">
        <v>18</v>
      </c>
      <c r="F503" t="s">
        <v>24</v>
      </c>
      <c r="G503" t="s">
        <v>20</v>
      </c>
      <c r="H503" t="s">
        <v>26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61.4</v>
      </c>
    </row>
    <row r="504" spans="1:17">
      <c r="A504" t="s">
        <v>534</v>
      </c>
      <c r="B504">
        <f>COUNTIF($A$2:A504,A504)</f>
        <v>1</v>
      </c>
      <c r="C504" s="2">
        <v>45706</v>
      </c>
      <c r="D504" t="s">
        <v>17</v>
      </c>
      <c r="E504" t="s">
        <v>32</v>
      </c>
      <c r="F504" t="s">
        <v>19</v>
      </c>
      <c r="G504" t="s">
        <v>41</v>
      </c>
      <c r="H504" t="s">
        <v>26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57.8</v>
      </c>
    </row>
    <row r="505" spans="1:17">
      <c r="A505" t="s">
        <v>535</v>
      </c>
      <c r="B505">
        <f>COUNTIF($A$2:A505,A505)</f>
        <v>1</v>
      </c>
      <c r="C505" s="2">
        <v>45754</v>
      </c>
      <c r="D505" t="s">
        <v>17</v>
      </c>
      <c r="E505" t="s">
        <v>18</v>
      </c>
      <c r="F505" t="s">
        <v>19</v>
      </c>
      <c r="G505" t="s">
        <v>25</v>
      </c>
      <c r="H505" t="s">
        <v>26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78.2</v>
      </c>
    </row>
    <row r="506" spans="1:17">
      <c r="A506" t="s">
        <v>536</v>
      </c>
      <c r="B506">
        <f>COUNTIF($A$2:A506,A506)</f>
        <v>1</v>
      </c>
      <c r="C506" s="2">
        <v>45753</v>
      </c>
      <c r="D506" t="s">
        <v>17</v>
      </c>
      <c r="E506" t="s">
        <v>18</v>
      </c>
      <c r="F506" t="s">
        <v>24</v>
      </c>
      <c r="G506" t="s">
        <v>39</v>
      </c>
      <c r="H506" t="s">
        <v>26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63.8</v>
      </c>
    </row>
    <row r="507" spans="1:17">
      <c r="A507" t="s">
        <v>537</v>
      </c>
      <c r="B507">
        <f>COUNTIF($A$2:A507,A507)</f>
        <v>1</v>
      </c>
      <c r="C507" s="2">
        <v>45687</v>
      </c>
      <c r="D507" t="s">
        <v>17</v>
      </c>
      <c r="E507" t="s">
        <v>18</v>
      </c>
      <c r="F507" t="s">
        <v>19</v>
      </c>
      <c r="G507" t="s">
        <v>41</v>
      </c>
      <c r="H507" t="s">
        <v>26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56.8</v>
      </c>
    </row>
    <row r="508" spans="1:17">
      <c r="A508" t="s">
        <v>538</v>
      </c>
      <c r="B508">
        <f>COUNTIF($A$2:A508,A508)</f>
        <v>1</v>
      </c>
      <c r="C508" s="2">
        <v>45790</v>
      </c>
      <c r="D508" t="s">
        <v>17</v>
      </c>
      <c r="E508" t="s">
        <v>32</v>
      </c>
      <c r="F508" t="s">
        <v>19</v>
      </c>
      <c r="G508" t="s">
        <v>25</v>
      </c>
      <c r="H508" t="s">
        <v>21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59.6</v>
      </c>
    </row>
    <row r="509" spans="1:17">
      <c r="A509" t="s">
        <v>539</v>
      </c>
      <c r="B509">
        <f>COUNTIF($A$2:A509,A509)</f>
        <v>1</v>
      </c>
      <c r="C509" s="2">
        <v>45677</v>
      </c>
      <c r="D509" t="s">
        <v>17</v>
      </c>
      <c r="E509" t="s">
        <v>23</v>
      </c>
      <c r="F509" t="s">
        <v>24</v>
      </c>
      <c r="G509" t="s">
        <v>29</v>
      </c>
      <c r="H509" t="s">
        <v>30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50</v>
      </c>
    </row>
    <row r="510" spans="1:17">
      <c r="A510" t="s">
        <v>540</v>
      </c>
      <c r="B510">
        <f>COUNTIF($A$2:A510,A510)</f>
        <v>1</v>
      </c>
      <c r="C510" s="2">
        <v>45687</v>
      </c>
      <c r="D510" t="s">
        <v>17</v>
      </c>
      <c r="E510" t="s">
        <v>18</v>
      </c>
      <c r="F510" t="s">
        <v>34</v>
      </c>
      <c r="G510" t="s">
        <v>25</v>
      </c>
      <c r="H510" t="s">
        <v>26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35.700000000000003</v>
      </c>
    </row>
    <row r="511" spans="1:17">
      <c r="A511" t="s">
        <v>541</v>
      </c>
      <c r="B511">
        <f>COUNTIF($A$2:A511,A511)</f>
        <v>1</v>
      </c>
      <c r="C511" s="2">
        <v>45670</v>
      </c>
      <c r="D511" t="s">
        <v>17</v>
      </c>
      <c r="E511" t="s">
        <v>32</v>
      </c>
      <c r="F511" t="s">
        <v>24</v>
      </c>
      <c r="G511" t="s">
        <v>25</v>
      </c>
      <c r="H511" t="s">
        <v>26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0</v>
      </c>
      <c r="Q511">
        <v>47.2</v>
      </c>
    </row>
    <row r="512" spans="1:17">
      <c r="A512" t="s">
        <v>542</v>
      </c>
      <c r="B512">
        <f>COUNTIF($A$2:A512,A512)</f>
        <v>1</v>
      </c>
      <c r="C512" s="2">
        <v>45699</v>
      </c>
      <c r="D512" t="s">
        <v>17</v>
      </c>
      <c r="E512" t="s">
        <v>18</v>
      </c>
      <c r="F512" t="s">
        <v>24</v>
      </c>
      <c r="G512" t="s">
        <v>41</v>
      </c>
      <c r="H512" t="s">
        <v>26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56.9</v>
      </c>
    </row>
    <row r="513" spans="1:17">
      <c r="A513" t="s">
        <v>543</v>
      </c>
      <c r="B513">
        <f>COUNTIF($A$2:A513,A513)</f>
        <v>1</v>
      </c>
      <c r="C513" s="2">
        <v>45762</v>
      </c>
      <c r="D513" t="s">
        <v>17</v>
      </c>
      <c r="E513" t="s">
        <v>32</v>
      </c>
      <c r="F513" t="s">
        <v>24</v>
      </c>
      <c r="G513" t="s">
        <v>25</v>
      </c>
      <c r="H513" t="s">
        <v>26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Q513">
        <v>57.2</v>
      </c>
    </row>
    <row r="514" spans="1:17">
      <c r="A514" t="s">
        <v>544</v>
      </c>
      <c r="B514">
        <f>COUNTIF($A$2:A514,A514)</f>
        <v>1</v>
      </c>
      <c r="C514" s="2">
        <v>45701</v>
      </c>
      <c r="D514" t="s">
        <v>17</v>
      </c>
      <c r="E514" t="s">
        <v>32</v>
      </c>
      <c r="F514" t="s">
        <v>24</v>
      </c>
      <c r="H514" t="s">
        <v>26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Q514">
        <v>31.4</v>
      </c>
    </row>
    <row r="515" spans="1:17">
      <c r="A515" t="s">
        <v>545</v>
      </c>
      <c r="B515">
        <f>COUNTIF($A$2:A515,A515)</f>
        <v>1</v>
      </c>
      <c r="C515" s="2">
        <v>45786</v>
      </c>
      <c r="D515" t="s">
        <v>17</v>
      </c>
      <c r="E515" t="s">
        <v>32</v>
      </c>
      <c r="F515" t="s">
        <v>19</v>
      </c>
      <c r="G515" t="s">
        <v>25</v>
      </c>
      <c r="H515" t="s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>
        <v>71.2</v>
      </c>
    </row>
    <row r="516" spans="1:17">
      <c r="A516" t="s">
        <v>546</v>
      </c>
      <c r="B516">
        <f>COUNTIF($A$2:A516,A516)</f>
        <v>1</v>
      </c>
      <c r="C516" s="2">
        <v>45726</v>
      </c>
      <c r="D516" t="s">
        <v>17</v>
      </c>
      <c r="E516" t="s">
        <v>18</v>
      </c>
      <c r="F516" t="s">
        <v>24</v>
      </c>
      <c r="G516" t="s">
        <v>29</v>
      </c>
      <c r="H516" t="s">
        <v>26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1</v>
      </c>
      <c r="O516">
        <v>0</v>
      </c>
      <c r="Q516">
        <v>38.299999999999997</v>
      </c>
    </row>
    <row r="517" spans="1:17">
      <c r="A517" t="s">
        <v>547</v>
      </c>
      <c r="B517">
        <f>COUNTIF($A$2:A517,A517)</f>
        <v>1</v>
      </c>
      <c r="C517" s="2">
        <v>45748</v>
      </c>
      <c r="D517" t="s">
        <v>17</v>
      </c>
      <c r="E517" t="s">
        <v>18</v>
      </c>
      <c r="F517" t="s">
        <v>24</v>
      </c>
      <c r="G517" t="s">
        <v>25</v>
      </c>
      <c r="H517" t="s">
        <v>26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Q517">
        <v>63.1</v>
      </c>
    </row>
    <row r="518" spans="1:17">
      <c r="A518" t="s">
        <v>548</v>
      </c>
      <c r="B518">
        <f>COUNTIF($A$2:A518,A518)</f>
        <v>1</v>
      </c>
      <c r="C518" s="2">
        <v>45792</v>
      </c>
      <c r="D518" t="s">
        <v>17</v>
      </c>
      <c r="E518" t="s">
        <v>28</v>
      </c>
      <c r="F518" t="s">
        <v>24</v>
      </c>
      <c r="G518" t="s">
        <v>39</v>
      </c>
      <c r="H518" t="s">
        <v>21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Q518">
        <v>59.7</v>
      </c>
    </row>
    <row r="519" spans="1:17">
      <c r="A519" t="s">
        <v>549</v>
      </c>
      <c r="B519">
        <f>COUNTIF($A$2:A519,A519)</f>
        <v>1</v>
      </c>
      <c r="C519" s="2">
        <v>45781</v>
      </c>
      <c r="D519" t="s">
        <v>17</v>
      </c>
      <c r="E519" t="s">
        <v>32</v>
      </c>
      <c r="F519" t="s">
        <v>19</v>
      </c>
      <c r="G519" t="s">
        <v>41</v>
      </c>
      <c r="H519" t="s">
        <v>30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Q519">
        <v>59.5</v>
      </c>
    </row>
    <row r="520" spans="1:17">
      <c r="A520" t="s">
        <v>550</v>
      </c>
      <c r="B520">
        <f>COUNTIF($A$2:A520,A520)</f>
        <v>1</v>
      </c>
      <c r="C520" s="2">
        <v>45797</v>
      </c>
      <c r="D520" t="s">
        <v>17</v>
      </c>
      <c r="E520" t="s">
        <v>28</v>
      </c>
      <c r="F520" t="s">
        <v>24</v>
      </c>
      <c r="G520" t="s">
        <v>29</v>
      </c>
      <c r="H520" t="s">
        <v>26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Q520">
        <v>78.8</v>
      </c>
    </row>
    <row r="521" spans="1:17">
      <c r="A521" t="s">
        <v>551</v>
      </c>
      <c r="B521">
        <f>COUNTIF($A$2:A521,A521)</f>
        <v>1</v>
      </c>
      <c r="C521" s="2">
        <v>45793</v>
      </c>
      <c r="D521" t="s">
        <v>17</v>
      </c>
      <c r="E521" t="s">
        <v>23</v>
      </c>
      <c r="F521" t="s">
        <v>19</v>
      </c>
      <c r="G521" t="s">
        <v>39</v>
      </c>
      <c r="H521" t="s">
        <v>26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Q521">
        <v>54</v>
      </c>
    </row>
    <row r="522" spans="1:17">
      <c r="A522" t="s">
        <v>552</v>
      </c>
      <c r="B522">
        <f>COUNTIF($A$2:A522,A522)</f>
        <v>1</v>
      </c>
      <c r="C522" s="2">
        <v>45733</v>
      </c>
      <c r="D522" t="s">
        <v>17</v>
      </c>
      <c r="E522" t="s">
        <v>23</v>
      </c>
      <c r="F522" t="s">
        <v>24</v>
      </c>
      <c r="G522" t="s">
        <v>25</v>
      </c>
      <c r="H522" t="s">
        <v>26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Q522">
        <v>66.3</v>
      </c>
    </row>
    <row r="523" spans="1:17">
      <c r="A523" t="s">
        <v>553</v>
      </c>
      <c r="B523">
        <f>COUNTIF($A$2:A523,A523)</f>
        <v>1</v>
      </c>
      <c r="C523" s="2">
        <v>45684</v>
      </c>
      <c r="D523" t="s">
        <v>17</v>
      </c>
      <c r="E523" t="s">
        <v>28</v>
      </c>
      <c r="F523" t="s">
        <v>34</v>
      </c>
      <c r="G523" t="s">
        <v>29</v>
      </c>
      <c r="H523" t="s">
        <v>26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Q523">
        <v>54.7</v>
      </c>
    </row>
    <row r="524" spans="1:17">
      <c r="A524" t="s">
        <v>554</v>
      </c>
      <c r="B524">
        <f>COUNTIF($A$2:A524,A524)</f>
        <v>1</v>
      </c>
      <c r="C524" s="2">
        <v>45760</v>
      </c>
      <c r="D524" t="s">
        <v>17</v>
      </c>
      <c r="E524" t="s">
        <v>32</v>
      </c>
      <c r="F524" t="s">
        <v>24</v>
      </c>
      <c r="G524" t="s">
        <v>25</v>
      </c>
      <c r="H524" t="s">
        <v>21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Q524">
        <v>76.7</v>
      </c>
    </row>
    <row r="525" spans="1:17">
      <c r="A525" t="s">
        <v>555</v>
      </c>
      <c r="B525">
        <f>COUNTIF($A$2:A525,A525)</f>
        <v>1</v>
      </c>
      <c r="C525" s="2">
        <v>45780</v>
      </c>
      <c r="D525" t="s">
        <v>17</v>
      </c>
      <c r="E525" t="s">
        <v>32</v>
      </c>
      <c r="F525" t="s">
        <v>19</v>
      </c>
      <c r="G525" t="s">
        <v>20</v>
      </c>
      <c r="H525" t="s">
        <v>21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2</v>
      </c>
      <c r="O525">
        <v>0</v>
      </c>
      <c r="Q525">
        <v>47.4</v>
      </c>
    </row>
    <row r="526" spans="1:17">
      <c r="A526" t="s">
        <v>556</v>
      </c>
      <c r="B526">
        <f>COUNTIF($A$2:A526,A526)</f>
        <v>1</v>
      </c>
      <c r="C526" s="2">
        <v>45746</v>
      </c>
      <c r="D526" t="s">
        <v>17</v>
      </c>
      <c r="E526" t="s">
        <v>18</v>
      </c>
      <c r="F526" t="s">
        <v>24</v>
      </c>
      <c r="G526" t="s">
        <v>25</v>
      </c>
      <c r="H526" t="s">
        <v>26</v>
      </c>
      <c r="I526">
        <v>1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0</v>
      </c>
      <c r="Q526">
        <v>81.7</v>
      </c>
    </row>
    <row r="527" spans="1:17">
      <c r="A527" t="s">
        <v>557</v>
      </c>
      <c r="B527">
        <f>COUNTIF($A$2:A527,A527)</f>
        <v>1</v>
      </c>
      <c r="C527" s="2">
        <v>45658</v>
      </c>
      <c r="D527" t="s">
        <v>17</v>
      </c>
      <c r="E527" t="s">
        <v>23</v>
      </c>
      <c r="F527" t="s">
        <v>24</v>
      </c>
      <c r="G527" t="s">
        <v>29</v>
      </c>
      <c r="H527" t="s">
        <v>21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Q527">
        <v>67.5</v>
      </c>
    </row>
    <row r="528" spans="1:17">
      <c r="A528" t="s">
        <v>558</v>
      </c>
      <c r="B528">
        <f>COUNTIF($A$2:A528,A528)</f>
        <v>1</v>
      </c>
      <c r="C528" s="2">
        <v>45694</v>
      </c>
      <c r="D528" t="s">
        <v>17</v>
      </c>
      <c r="E528" t="s">
        <v>23</v>
      </c>
      <c r="F528" t="s">
        <v>24</v>
      </c>
      <c r="G528" t="s">
        <v>29</v>
      </c>
      <c r="H528" t="s">
        <v>21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Q528">
        <v>36.799999999999997</v>
      </c>
    </row>
    <row r="529" spans="1:17">
      <c r="A529" t="s">
        <v>559</v>
      </c>
      <c r="B529">
        <f>COUNTIF($A$2:A529,A529)</f>
        <v>1</v>
      </c>
      <c r="C529" s="2">
        <v>45713</v>
      </c>
      <c r="D529" t="s">
        <v>17</v>
      </c>
      <c r="E529" t="s">
        <v>18</v>
      </c>
      <c r="F529" t="s">
        <v>19</v>
      </c>
      <c r="G529" t="s">
        <v>25</v>
      </c>
      <c r="H529" t="s">
        <v>26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Q529">
        <v>66.5</v>
      </c>
    </row>
    <row r="530" spans="1:17">
      <c r="A530" t="s">
        <v>560</v>
      </c>
      <c r="B530">
        <f>COUNTIF($A$2:A530,A530)</f>
        <v>1</v>
      </c>
      <c r="C530" s="2">
        <v>45791</v>
      </c>
      <c r="D530" t="s">
        <v>17</v>
      </c>
      <c r="E530" t="s">
        <v>28</v>
      </c>
      <c r="F530" t="s">
        <v>34</v>
      </c>
      <c r="G530" t="s">
        <v>41</v>
      </c>
      <c r="H530" t="s">
        <v>26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>
        <v>35.4</v>
      </c>
    </row>
    <row r="531" spans="1:17">
      <c r="A531" t="s">
        <v>561</v>
      </c>
      <c r="B531">
        <f>COUNTIF($A$2:A531,A531)</f>
        <v>1</v>
      </c>
      <c r="C531" s="2">
        <v>45797</v>
      </c>
      <c r="D531" t="s">
        <v>17</v>
      </c>
      <c r="E531" t="s">
        <v>32</v>
      </c>
      <c r="F531" t="s">
        <v>24</v>
      </c>
      <c r="G531" t="s">
        <v>25</v>
      </c>
      <c r="H531" t="s">
        <v>21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Q531">
        <v>64.3</v>
      </c>
    </row>
    <row r="532" spans="1:17">
      <c r="A532" t="s">
        <v>562</v>
      </c>
      <c r="B532">
        <f>COUNTIF($A$2:A532,A532)</f>
        <v>1</v>
      </c>
      <c r="C532" s="2">
        <v>45699</v>
      </c>
      <c r="D532" t="s">
        <v>17</v>
      </c>
      <c r="E532" t="s">
        <v>32</v>
      </c>
      <c r="F532" t="s">
        <v>24</v>
      </c>
      <c r="G532" t="s">
        <v>25</v>
      </c>
      <c r="H532" t="s">
        <v>26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Q532">
        <v>49.1</v>
      </c>
    </row>
    <row r="533" spans="1:17">
      <c r="A533" t="s">
        <v>563</v>
      </c>
      <c r="B533">
        <f>COUNTIF($A$2:A533,A533)</f>
        <v>1</v>
      </c>
      <c r="C533" s="2">
        <v>45701</v>
      </c>
      <c r="D533" t="s">
        <v>17</v>
      </c>
      <c r="E533" t="s">
        <v>23</v>
      </c>
      <c r="F533" t="s">
        <v>24</v>
      </c>
      <c r="G533" t="s">
        <v>25</v>
      </c>
      <c r="H533" t="s">
        <v>26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Q533">
        <v>84.3</v>
      </c>
    </row>
    <row r="534" spans="1:17">
      <c r="A534" t="s">
        <v>564</v>
      </c>
      <c r="B534">
        <f>COUNTIF($A$2:A534,A534)</f>
        <v>1</v>
      </c>
      <c r="C534" s="2">
        <v>45754</v>
      </c>
      <c r="D534" t="s">
        <v>17</v>
      </c>
      <c r="E534" t="s">
        <v>32</v>
      </c>
      <c r="F534" t="s">
        <v>24</v>
      </c>
      <c r="G534" t="s">
        <v>29</v>
      </c>
      <c r="H534" t="s">
        <v>30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Q534">
        <v>65.599999999999994</v>
      </c>
    </row>
    <row r="535" spans="1:17">
      <c r="A535" t="s">
        <v>565</v>
      </c>
      <c r="B535">
        <f>COUNTIF($A$2:A535,A535)</f>
        <v>1</v>
      </c>
      <c r="C535" s="2">
        <v>45724</v>
      </c>
      <c r="D535" t="s">
        <v>17</v>
      </c>
      <c r="E535" t="s">
        <v>28</v>
      </c>
      <c r="F535" t="s">
        <v>24</v>
      </c>
      <c r="G535" t="s">
        <v>20</v>
      </c>
      <c r="H535" t="s">
        <v>26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Q535">
        <v>47.1</v>
      </c>
    </row>
    <row r="536" spans="1:17">
      <c r="A536" t="s">
        <v>566</v>
      </c>
      <c r="B536">
        <f>COUNTIF($A$2:A536,A536)</f>
        <v>1</v>
      </c>
      <c r="C536" s="2">
        <v>45704</v>
      </c>
      <c r="D536" t="s">
        <v>17</v>
      </c>
      <c r="E536" t="s">
        <v>18</v>
      </c>
      <c r="F536" t="s">
        <v>19</v>
      </c>
      <c r="G536" t="s">
        <v>29</v>
      </c>
      <c r="H536" t="s">
        <v>26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Q536">
        <v>70</v>
      </c>
    </row>
    <row r="537" spans="1:17">
      <c r="A537" t="s">
        <v>567</v>
      </c>
      <c r="B537">
        <f>COUNTIF($A$2:A537,A537)</f>
        <v>1</v>
      </c>
      <c r="C537" s="2">
        <v>45775</v>
      </c>
      <c r="D537" t="s">
        <v>17</v>
      </c>
      <c r="E537" t="s">
        <v>32</v>
      </c>
      <c r="F537" t="s">
        <v>24</v>
      </c>
      <c r="G537" t="s">
        <v>29</v>
      </c>
      <c r="H537" t="s">
        <v>30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Q537">
        <v>54.6</v>
      </c>
    </row>
    <row r="538" spans="1:17">
      <c r="A538" t="s">
        <v>568</v>
      </c>
      <c r="B538">
        <f>COUNTIF($A$2:A538,A538)</f>
        <v>1</v>
      </c>
      <c r="C538" s="2">
        <v>45726</v>
      </c>
      <c r="D538" t="s">
        <v>17</v>
      </c>
      <c r="E538" t="s">
        <v>23</v>
      </c>
      <c r="F538" t="s">
        <v>34</v>
      </c>
      <c r="G538" t="s">
        <v>41</v>
      </c>
      <c r="H538" t="s">
        <v>21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Q538">
        <v>65.2</v>
      </c>
    </row>
    <row r="539" spans="1:17">
      <c r="A539" t="s">
        <v>569</v>
      </c>
      <c r="B539">
        <f>COUNTIF($A$2:A539,A539)</f>
        <v>1</v>
      </c>
      <c r="C539" s="2">
        <v>45682</v>
      </c>
      <c r="D539" t="s">
        <v>17</v>
      </c>
      <c r="E539" t="s">
        <v>28</v>
      </c>
      <c r="F539" t="s">
        <v>24</v>
      </c>
      <c r="G539" t="s">
        <v>41</v>
      </c>
      <c r="H539" t="s">
        <v>26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Q539">
        <v>65</v>
      </c>
    </row>
    <row r="540" spans="1:17">
      <c r="A540" t="s">
        <v>570</v>
      </c>
      <c r="B540">
        <f>COUNTIF($A$2:A540,A540)</f>
        <v>1</v>
      </c>
      <c r="C540" s="2">
        <v>45668</v>
      </c>
      <c r="D540" t="s">
        <v>17</v>
      </c>
      <c r="E540" t="s">
        <v>23</v>
      </c>
      <c r="F540" t="s">
        <v>24</v>
      </c>
      <c r="G540" t="s">
        <v>29</v>
      </c>
      <c r="H540" t="s">
        <v>30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Q540">
        <v>42.1</v>
      </c>
    </row>
    <row r="541" spans="1:17">
      <c r="A541" t="s">
        <v>571</v>
      </c>
      <c r="B541">
        <f>COUNTIF($A$2:A541,A541)</f>
        <v>1</v>
      </c>
      <c r="C541" s="2">
        <v>45747</v>
      </c>
      <c r="D541" t="s">
        <v>17</v>
      </c>
      <c r="E541" t="s">
        <v>23</v>
      </c>
      <c r="F541" t="s">
        <v>34</v>
      </c>
      <c r="G541" t="s">
        <v>29</v>
      </c>
      <c r="H541" t="s">
        <v>26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Q541">
        <v>43.4</v>
      </c>
    </row>
    <row r="542" spans="1:17">
      <c r="A542" t="s">
        <v>572</v>
      </c>
      <c r="B542">
        <f>COUNTIF($A$2:A542,A542)</f>
        <v>1</v>
      </c>
      <c r="C542" s="2">
        <v>45799</v>
      </c>
      <c r="D542" t="s">
        <v>17</v>
      </c>
      <c r="E542" t="s">
        <v>18</v>
      </c>
      <c r="F542" t="s">
        <v>24</v>
      </c>
      <c r="G542" t="s">
        <v>29</v>
      </c>
      <c r="H542" t="s">
        <v>21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Q542">
        <v>39.9</v>
      </c>
    </row>
    <row r="543" spans="1:17">
      <c r="A543" t="s">
        <v>573</v>
      </c>
      <c r="B543">
        <f>COUNTIF($A$2:A543,A543)</f>
        <v>1</v>
      </c>
      <c r="C543" s="2">
        <v>45793</v>
      </c>
      <c r="D543" t="s">
        <v>17</v>
      </c>
      <c r="E543" t="s">
        <v>18</v>
      </c>
      <c r="F543" t="s">
        <v>24</v>
      </c>
      <c r="G543" t="s">
        <v>39</v>
      </c>
      <c r="H543" t="s">
        <v>21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Q543">
        <v>74.099999999999994</v>
      </c>
    </row>
    <row r="544" spans="1:17">
      <c r="A544" t="s">
        <v>574</v>
      </c>
      <c r="B544">
        <f>COUNTIF($A$2:A544,A544)</f>
        <v>1</v>
      </c>
      <c r="C544" s="2">
        <v>45772</v>
      </c>
      <c r="D544" t="s">
        <v>17</v>
      </c>
      <c r="E544" t="s">
        <v>28</v>
      </c>
      <c r="F544" t="s">
        <v>19</v>
      </c>
      <c r="G544" t="s">
        <v>29</v>
      </c>
      <c r="H544" t="s">
        <v>26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Q544">
        <v>61.4</v>
      </c>
    </row>
    <row r="545" spans="1:17">
      <c r="A545" t="s">
        <v>575</v>
      </c>
      <c r="B545">
        <f>COUNTIF($A$2:A545,A545)</f>
        <v>1</v>
      </c>
      <c r="C545" s="2">
        <v>45764</v>
      </c>
      <c r="D545" t="s">
        <v>17</v>
      </c>
      <c r="E545" t="s">
        <v>28</v>
      </c>
      <c r="F545" t="s">
        <v>24</v>
      </c>
      <c r="G545" t="s">
        <v>41</v>
      </c>
      <c r="H545" t="s">
        <v>30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  <c r="Q545">
        <v>76.8</v>
      </c>
    </row>
    <row r="546" spans="1:17">
      <c r="A546" t="s">
        <v>576</v>
      </c>
      <c r="B546">
        <f>COUNTIF($A$2:A546,A546)</f>
        <v>1</v>
      </c>
      <c r="C546" s="2">
        <v>45658</v>
      </c>
      <c r="D546" t="s">
        <v>17</v>
      </c>
      <c r="E546" t="s">
        <v>32</v>
      </c>
      <c r="F546" t="s">
        <v>19</v>
      </c>
      <c r="G546" t="s">
        <v>41</v>
      </c>
      <c r="H546" t="s">
        <v>21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7">
      <c r="A547" t="s">
        <v>577</v>
      </c>
      <c r="B547">
        <f>COUNTIF($A$2:A547,A547)</f>
        <v>1</v>
      </c>
      <c r="C547" s="2">
        <v>45734</v>
      </c>
      <c r="D547" t="s">
        <v>17</v>
      </c>
      <c r="E547" t="s">
        <v>28</v>
      </c>
      <c r="F547" t="s">
        <v>24</v>
      </c>
      <c r="G547" t="s">
        <v>29</v>
      </c>
      <c r="H547" t="s">
        <v>21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0</v>
      </c>
      <c r="Q547">
        <v>45.3</v>
      </c>
    </row>
    <row r="548" spans="1:17">
      <c r="A548" t="s">
        <v>578</v>
      </c>
      <c r="B548">
        <f>COUNTIF($A$2:A548,A548)</f>
        <v>1</v>
      </c>
      <c r="C548" s="2">
        <v>45797</v>
      </c>
      <c r="D548" t="s">
        <v>17</v>
      </c>
      <c r="E548" t="s">
        <v>18</v>
      </c>
      <c r="F548" t="s">
        <v>34</v>
      </c>
      <c r="G548" t="s">
        <v>29</v>
      </c>
      <c r="H548" t="s">
        <v>26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Q548">
        <v>41.4</v>
      </c>
    </row>
    <row r="549" spans="1:17">
      <c r="A549" t="s">
        <v>579</v>
      </c>
      <c r="B549">
        <f>COUNTIF($A$2:A549,A549)</f>
        <v>1</v>
      </c>
      <c r="C549" s="2">
        <v>45732</v>
      </c>
      <c r="D549" t="s">
        <v>17</v>
      </c>
      <c r="E549" t="s">
        <v>18</v>
      </c>
      <c r="F549" t="s">
        <v>24</v>
      </c>
      <c r="G549" t="s">
        <v>25</v>
      </c>
      <c r="H549" t="s">
        <v>21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Q549">
        <v>37.1</v>
      </c>
    </row>
    <row r="550" spans="1:17">
      <c r="A550" t="s">
        <v>580</v>
      </c>
      <c r="B550">
        <f>COUNTIF($A$2:A550,A550)</f>
        <v>1</v>
      </c>
      <c r="C550" s="2">
        <v>45807</v>
      </c>
      <c r="D550" t="s">
        <v>17</v>
      </c>
      <c r="E550" t="s">
        <v>28</v>
      </c>
      <c r="F550" t="s">
        <v>19</v>
      </c>
      <c r="G550" t="s">
        <v>41</v>
      </c>
      <c r="H550" t="s">
        <v>26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Q550">
        <v>40.700000000000003</v>
      </c>
    </row>
    <row r="551" spans="1:17">
      <c r="A551" t="s">
        <v>581</v>
      </c>
      <c r="B551">
        <f>COUNTIF($A$2:A551,A551)</f>
        <v>1</v>
      </c>
      <c r="C551" s="2">
        <v>45708</v>
      </c>
      <c r="D551" t="s">
        <v>17</v>
      </c>
      <c r="E551" t="s">
        <v>18</v>
      </c>
      <c r="F551" t="s">
        <v>24</v>
      </c>
      <c r="G551" t="s">
        <v>41</v>
      </c>
      <c r="H551" t="s">
        <v>30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2</v>
      </c>
      <c r="O551">
        <v>0</v>
      </c>
      <c r="Q551">
        <v>55.9</v>
      </c>
    </row>
    <row r="552" spans="1:17">
      <c r="A552" t="s">
        <v>582</v>
      </c>
      <c r="B552">
        <f>COUNTIF($A$2:A552,A552)</f>
        <v>1</v>
      </c>
      <c r="C552" s="2">
        <v>45699</v>
      </c>
      <c r="D552" t="s">
        <v>17</v>
      </c>
      <c r="E552" t="s">
        <v>28</v>
      </c>
      <c r="G552" t="s">
        <v>41</v>
      </c>
      <c r="H552" t="s">
        <v>26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Q552">
        <v>55.8</v>
      </c>
    </row>
    <row r="553" spans="1:17">
      <c r="A553" t="s">
        <v>583</v>
      </c>
      <c r="B553">
        <f>COUNTIF($A$2:A553,A553)</f>
        <v>1</v>
      </c>
      <c r="C553" s="2">
        <v>45659</v>
      </c>
      <c r="D553" t="s">
        <v>17</v>
      </c>
      <c r="E553" t="s">
        <v>32</v>
      </c>
      <c r="F553" t="s">
        <v>34</v>
      </c>
      <c r="G553" t="s">
        <v>39</v>
      </c>
      <c r="H553" t="s">
        <v>21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Q553">
        <v>64.3</v>
      </c>
    </row>
    <row r="554" spans="1:17">
      <c r="A554" t="s">
        <v>584</v>
      </c>
      <c r="B554">
        <f>COUNTIF($A$2:A554,A554)</f>
        <v>1</v>
      </c>
      <c r="C554" s="2">
        <v>45780</v>
      </c>
      <c r="D554" t="s">
        <v>17</v>
      </c>
      <c r="E554" t="s">
        <v>18</v>
      </c>
      <c r="F554" t="s">
        <v>24</v>
      </c>
      <c r="G554" t="s">
        <v>25</v>
      </c>
      <c r="H554" t="s">
        <v>26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Q554">
        <v>65.400000000000006</v>
      </c>
    </row>
    <row r="555" spans="1:17">
      <c r="A555" t="s">
        <v>585</v>
      </c>
      <c r="B555">
        <f>COUNTIF($A$2:A555,A555)</f>
        <v>1</v>
      </c>
      <c r="C555" s="2">
        <v>45712</v>
      </c>
      <c r="D555" t="s">
        <v>17</v>
      </c>
      <c r="E555" t="s">
        <v>23</v>
      </c>
      <c r="F555" t="s">
        <v>24</v>
      </c>
      <c r="G555" t="s">
        <v>25</v>
      </c>
      <c r="H555" t="s">
        <v>26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Q555">
        <v>89.8</v>
      </c>
    </row>
    <row r="556" spans="1:17">
      <c r="A556" t="s">
        <v>586</v>
      </c>
      <c r="B556">
        <f>COUNTIF($A$2:A556,A556)</f>
        <v>1</v>
      </c>
      <c r="C556" s="2">
        <v>45699</v>
      </c>
      <c r="D556" t="s">
        <v>17</v>
      </c>
      <c r="E556" t="s">
        <v>32</v>
      </c>
      <c r="G556" t="s">
        <v>25</v>
      </c>
      <c r="H556" t="s">
        <v>26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Q556">
        <v>58.3</v>
      </c>
    </row>
    <row r="557" spans="1:17">
      <c r="A557" t="s">
        <v>587</v>
      </c>
      <c r="B557">
        <f>COUNTIF($A$2:A557,A557)</f>
        <v>1</v>
      </c>
      <c r="C557" s="2">
        <v>45783</v>
      </c>
      <c r="D557" t="s">
        <v>17</v>
      </c>
      <c r="E557" t="s">
        <v>32</v>
      </c>
      <c r="F557" t="s">
        <v>24</v>
      </c>
      <c r="G557" t="s">
        <v>41</v>
      </c>
      <c r="H557" t="s">
        <v>21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Q557">
        <v>64.400000000000006</v>
      </c>
    </row>
    <row r="558" spans="1:17">
      <c r="A558" t="s">
        <v>588</v>
      </c>
      <c r="B558">
        <f>COUNTIF($A$2:A558,A558)</f>
        <v>1</v>
      </c>
      <c r="C558" s="2">
        <v>45800</v>
      </c>
      <c r="D558" t="s">
        <v>17</v>
      </c>
      <c r="E558" t="s">
        <v>18</v>
      </c>
      <c r="F558" t="s">
        <v>24</v>
      </c>
      <c r="G558" t="s">
        <v>29</v>
      </c>
      <c r="H558" t="s">
        <v>30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Q558">
        <v>46.2</v>
      </c>
    </row>
    <row r="559" spans="1:17">
      <c r="A559" t="s">
        <v>589</v>
      </c>
      <c r="B559">
        <f>COUNTIF($A$2:A559,A559)</f>
        <v>1</v>
      </c>
      <c r="C559" s="2">
        <v>45666</v>
      </c>
      <c r="D559" t="s">
        <v>17</v>
      </c>
      <c r="E559" t="s">
        <v>18</v>
      </c>
      <c r="F559" t="s">
        <v>19</v>
      </c>
      <c r="G559" t="s">
        <v>29</v>
      </c>
      <c r="H559" t="s">
        <v>26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Q559">
        <v>78</v>
      </c>
    </row>
    <row r="560" spans="1:17">
      <c r="A560" t="s">
        <v>590</v>
      </c>
      <c r="B560">
        <f>COUNTIF($A$2:A560,A560)</f>
        <v>1</v>
      </c>
      <c r="C560" s="2">
        <v>45748</v>
      </c>
      <c r="D560" t="s">
        <v>17</v>
      </c>
      <c r="E560" t="s">
        <v>18</v>
      </c>
      <c r="F560" t="s">
        <v>19</v>
      </c>
      <c r="G560" t="s">
        <v>25</v>
      </c>
      <c r="H560" t="s">
        <v>30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Q560">
        <v>62.3</v>
      </c>
    </row>
    <row r="561" spans="1:17">
      <c r="A561" t="s">
        <v>591</v>
      </c>
      <c r="B561">
        <f>COUNTIF($A$2:A561,A561)</f>
        <v>1</v>
      </c>
      <c r="C561" s="2">
        <v>45724</v>
      </c>
      <c r="D561" t="s">
        <v>17</v>
      </c>
      <c r="E561" t="s">
        <v>18</v>
      </c>
      <c r="F561" t="s">
        <v>24</v>
      </c>
      <c r="G561" t="s">
        <v>25</v>
      </c>
      <c r="H561" t="s">
        <v>26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Q561">
        <v>78.8</v>
      </c>
    </row>
    <row r="562" spans="1:17">
      <c r="A562" t="s">
        <v>592</v>
      </c>
      <c r="B562">
        <f>COUNTIF($A$2:A562,A562)</f>
        <v>1</v>
      </c>
      <c r="C562" s="2">
        <v>45708</v>
      </c>
      <c r="D562" t="s">
        <v>17</v>
      </c>
      <c r="E562" t="s">
        <v>18</v>
      </c>
      <c r="F562" t="s">
        <v>24</v>
      </c>
      <c r="G562" t="s">
        <v>41</v>
      </c>
      <c r="H562" t="s">
        <v>21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Q562">
        <v>25</v>
      </c>
    </row>
    <row r="563" spans="1:17">
      <c r="A563" t="s">
        <v>593</v>
      </c>
      <c r="B563">
        <f>COUNTIF($A$2:A563,A563)</f>
        <v>1</v>
      </c>
      <c r="C563" s="2">
        <v>45746</v>
      </c>
      <c r="D563" t="s">
        <v>17</v>
      </c>
      <c r="E563" t="s">
        <v>28</v>
      </c>
      <c r="F563" t="s">
        <v>24</v>
      </c>
      <c r="G563" t="s">
        <v>41</v>
      </c>
      <c r="H563" t="s">
        <v>21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Q563">
        <v>53.4</v>
      </c>
    </row>
    <row r="564" spans="1:17">
      <c r="A564" t="s">
        <v>594</v>
      </c>
      <c r="B564">
        <f>COUNTIF($A$2:A564,A564)</f>
        <v>1</v>
      </c>
      <c r="C564" s="2">
        <v>45757</v>
      </c>
      <c r="D564" t="s">
        <v>17</v>
      </c>
      <c r="E564" t="s">
        <v>28</v>
      </c>
      <c r="F564" t="s">
        <v>19</v>
      </c>
      <c r="G564" t="s">
        <v>25</v>
      </c>
      <c r="H564" t="s">
        <v>21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Q564">
        <v>40.700000000000003</v>
      </c>
    </row>
    <row r="565" spans="1:17">
      <c r="A565" t="s">
        <v>595</v>
      </c>
      <c r="B565">
        <f>COUNTIF($A$2:A565,A565)</f>
        <v>1</v>
      </c>
      <c r="C565" s="2">
        <v>45740</v>
      </c>
      <c r="D565" t="s">
        <v>17</v>
      </c>
      <c r="E565" t="s">
        <v>28</v>
      </c>
      <c r="F565" t="s">
        <v>24</v>
      </c>
      <c r="G565" t="s">
        <v>25</v>
      </c>
      <c r="H565" t="s">
        <v>30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Q565">
        <v>36.700000000000003</v>
      </c>
    </row>
    <row r="566" spans="1:17">
      <c r="A566" t="s">
        <v>596</v>
      </c>
      <c r="B566">
        <f>COUNTIF($A$2:A566,A566)</f>
        <v>1</v>
      </c>
      <c r="C566" s="2">
        <v>45798</v>
      </c>
      <c r="D566" t="s">
        <v>17</v>
      </c>
      <c r="E566" t="s">
        <v>23</v>
      </c>
      <c r="F566" t="s">
        <v>24</v>
      </c>
      <c r="G566" t="s">
        <v>25</v>
      </c>
      <c r="H566" t="s">
        <v>21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Q566">
        <v>67.5</v>
      </c>
    </row>
    <row r="567" spans="1:17">
      <c r="A567" t="s">
        <v>597</v>
      </c>
      <c r="B567">
        <f>COUNTIF($A$2:A567,A567)</f>
        <v>1</v>
      </c>
      <c r="C567" s="2">
        <v>45745</v>
      </c>
      <c r="D567" t="s">
        <v>17</v>
      </c>
      <c r="E567" t="s">
        <v>28</v>
      </c>
      <c r="F567" t="s">
        <v>24</v>
      </c>
      <c r="G567" t="s">
        <v>41</v>
      </c>
      <c r="H567" t="s">
        <v>30</v>
      </c>
      <c r="I567">
        <v>1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0</v>
      </c>
      <c r="Q567">
        <v>69.900000000000006</v>
      </c>
    </row>
    <row r="568" spans="1:17">
      <c r="A568" t="s">
        <v>598</v>
      </c>
      <c r="B568">
        <f>COUNTIF($A$2:A568,A568)</f>
        <v>1</v>
      </c>
      <c r="C568" s="2">
        <v>45711</v>
      </c>
      <c r="D568" t="s">
        <v>17</v>
      </c>
      <c r="E568" t="s">
        <v>18</v>
      </c>
      <c r="F568" t="s">
        <v>34</v>
      </c>
      <c r="G568" t="s">
        <v>39</v>
      </c>
      <c r="H568" t="s">
        <v>21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>
        <v>65.099999999999994</v>
      </c>
    </row>
    <row r="569" spans="1:17">
      <c r="A569" t="s">
        <v>599</v>
      </c>
      <c r="B569">
        <f>COUNTIF($A$2:A569,A569)</f>
        <v>1</v>
      </c>
      <c r="C569" s="2">
        <v>45704</v>
      </c>
      <c r="D569" t="s">
        <v>17</v>
      </c>
      <c r="E569" t="s">
        <v>23</v>
      </c>
      <c r="F569" t="s">
        <v>24</v>
      </c>
      <c r="G569" t="s">
        <v>29</v>
      </c>
      <c r="H569" t="s">
        <v>30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Q569">
        <v>48.7</v>
      </c>
    </row>
    <row r="570" spans="1:17">
      <c r="A570" t="s">
        <v>600</v>
      </c>
      <c r="B570">
        <f>COUNTIF($A$2:A570,A570)</f>
        <v>1</v>
      </c>
      <c r="C570" s="2">
        <v>45709</v>
      </c>
      <c r="D570" t="s">
        <v>17</v>
      </c>
      <c r="E570" t="s">
        <v>23</v>
      </c>
      <c r="F570" t="s">
        <v>19</v>
      </c>
      <c r="G570" t="s">
        <v>25</v>
      </c>
      <c r="H570" t="s">
        <v>21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Q570">
        <v>47.2</v>
      </c>
    </row>
    <row r="571" spans="1:17">
      <c r="A571" t="s">
        <v>601</v>
      </c>
      <c r="B571">
        <f>COUNTIF($A$2:A571,A571)</f>
        <v>1</v>
      </c>
      <c r="C571" s="2">
        <v>45664</v>
      </c>
      <c r="D571" t="s">
        <v>17</v>
      </c>
      <c r="E571" t="s">
        <v>18</v>
      </c>
      <c r="F571" t="s">
        <v>24</v>
      </c>
      <c r="G571" t="s">
        <v>39</v>
      </c>
      <c r="H571" t="s">
        <v>26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2</v>
      </c>
      <c r="O571">
        <v>0</v>
      </c>
      <c r="Q571">
        <v>20.3</v>
      </c>
    </row>
    <row r="572" spans="1:17">
      <c r="A572" t="s">
        <v>602</v>
      </c>
      <c r="B572">
        <f>COUNTIF($A$2:A572,A572)</f>
        <v>1</v>
      </c>
      <c r="C572" s="2">
        <v>45722</v>
      </c>
      <c r="D572" t="s">
        <v>17</v>
      </c>
      <c r="E572" t="s">
        <v>23</v>
      </c>
      <c r="F572" t="s">
        <v>24</v>
      </c>
      <c r="G572" t="s">
        <v>29</v>
      </c>
      <c r="H572" t="s">
        <v>26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Q572">
        <v>57.8</v>
      </c>
    </row>
    <row r="573" spans="1:17">
      <c r="A573" t="s">
        <v>603</v>
      </c>
      <c r="B573">
        <f>COUNTIF($A$2:A573,A573)</f>
        <v>1</v>
      </c>
      <c r="C573" s="2">
        <v>45746</v>
      </c>
      <c r="D573" t="s">
        <v>17</v>
      </c>
      <c r="E573" t="s">
        <v>28</v>
      </c>
      <c r="F573" t="s">
        <v>24</v>
      </c>
      <c r="G573" t="s">
        <v>20</v>
      </c>
      <c r="H573" t="s">
        <v>21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Q573">
        <v>78.7</v>
      </c>
    </row>
    <row r="574" spans="1:17">
      <c r="A574" t="s">
        <v>604</v>
      </c>
      <c r="B574">
        <f>COUNTIF($A$2:A574,A574)</f>
        <v>1</v>
      </c>
      <c r="C574" s="2">
        <v>45808</v>
      </c>
      <c r="D574" t="s">
        <v>17</v>
      </c>
      <c r="E574" t="s">
        <v>32</v>
      </c>
      <c r="F574" t="s">
        <v>19</v>
      </c>
      <c r="G574" t="s">
        <v>25</v>
      </c>
      <c r="H574" t="s">
        <v>26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Q574">
        <v>63.6</v>
      </c>
    </row>
    <row r="575" spans="1:17">
      <c r="A575" t="s">
        <v>605</v>
      </c>
      <c r="B575">
        <f>COUNTIF($A$2:A575,A575)</f>
        <v>1</v>
      </c>
      <c r="C575" s="2">
        <v>45708</v>
      </c>
      <c r="D575" t="s">
        <v>17</v>
      </c>
      <c r="E575" t="s">
        <v>32</v>
      </c>
      <c r="F575" t="s">
        <v>24</v>
      </c>
      <c r="G575" t="s">
        <v>20</v>
      </c>
      <c r="H575" t="s">
        <v>26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0</v>
      </c>
      <c r="Q575">
        <v>45.1</v>
      </c>
    </row>
    <row r="576" spans="1:17">
      <c r="A576" t="s">
        <v>606</v>
      </c>
      <c r="B576">
        <f>COUNTIF($A$2:A576,A576)</f>
        <v>1</v>
      </c>
      <c r="C576" s="2">
        <v>45670</v>
      </c>
      <c r="D576" t="s">
        <v>17</v>
      </c>
      <c r="E576" t="s">
        <v>23</v>
      </c>
      <c r="F576" t="s">
        <v>24</v>
      </c>
      <c r="G576" t="s">
        <v>41</v>
      </c>
      <c r="H576" t="s">
        <v>26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Q576">
        <v>77.5</v>
      </c>
    </row>
    <row r="577" spans="1:17">
      <c r="A577" t="s">
        <v>607</v>
      </c>
      <c r="B577">
        <f>COUNTIF($A$2:A577,A577)</f>
        <v>1</v>
      </c>
      <c r="C577" s="2">
        <v>45790</v>
      </c>
      <c r="D577" t="s">
        <v>17</v>
      </c>
      <c r="E577" t="s">
        <v>28</v>
      </c>
      <c r="F577" t="s">
        <v>19</v>
      </c>
      <c r="G577" t="s">
        <v>29</v>
      </c>
      <c r="H577" t="s">
        <v>21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Q577">
        <v>58</v>
      </c>
    </row>
    <row r="578" spans="1:17">
      <c r="A578" t="s">
        <v>608</v>
      </c>
      <c r="B578">
        <f>COUNTIF($A$2:A578,A578)</f>
        <v>1</v>
      </c>
      <c r="C578" s="2">
        <v>45768</v>
      </c>
      <c r="D578" t="s">
        <v>17</v>
      </c>
      <c r="E578" t="s">
        <v>32</v>
      </c>
      <c r="F578" t="s">
        <v>34</v>
      </c>
      <c r="G578" t="s">
        <v>25</v>
      </c>
      <c r="H578" t="s">
        <v>26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Q578">
        <v>68.099999999999994</v>
      </c>
    </row>
    <row r="579" spans="1:17">
      <c r="A579" t="s">
        <v>609</v>
      </c>
      <c r="B579">
        <f>COUNTIF($A$2:A579,A579)</f>
        <v>1</v>
      </c>
      <c r="C579" s="2">
        <v>45717</v>
      </c>
      <c r="D579" t="s">
        <v>17</v>
      </c>
      <c r="E579" t="s">
        <v>28</v>
      </c>
      <c r="F579" t="s">
        <v>34</v>
      </c>
      <c r="G579" t="s">
        <v>25</v>
      </c>
      <c r="H579" t="s">
        <v>30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Q579">
        <v>35.4</v>
      </c>
    </row>
    <row r="580" spans="1:17">
      <c r="A580" t="s">
        <v>610</v>
      </c>
      <c r="B580">
        <f>COUNTIF($A$2:A580,A580)</f>
        <v>1</v>
      </c>
      <c r="C580" s="2">
        <v>45726</v>
      </c>
      <c r="D580" t="s">
        <v>17</v>
      </c>
      <c r="E580" t="s">
        <v>23</v>
      </c>
      <c r="F580" t="s">
        <v>34</v>
      </c>
      <c r="G580" t="s">
        <v>25</v>
      </c>
      <c r="H580" t="s">
        <v>26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Q580">
        <v>47</v>
      </c>
    </row>
    <row r="581" spans="1:17">
      <c r="A581" t="s">
        <v>611</v>
      </c>
      <c r="B581">
        <f>COUNTIF($A$2:A581,A581)</f>
        <v>1</v>
      </c>
      <c r="C581" s="2">
        <v>45724</v>
      </c>
      <c r="D581" t="s">
        <v>17</v>
      </c>
      <c r="E581" t="s">
        <v>28</v>
      </c>
      <c r="F581" t="s">
        <v>19</v>
      </c>
      <c r="G581" t="s">
        <v>29</v>
      </c>
      <c r="H581" t="s">
        <v>26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Q581">
        <v>75</v>
      </c>
    </row>
    <row r="582" spans="1:17">
      <c r="A582" t="s">
        <v>612</v>
      </c>
      <c r="B582">
        <f>COUNTIF($A$2:A582,A582)</f>
        <v>1</v>
      </c>
      <c r="C582" s="2">
        <v>45803</v>
      </c>
      <c r="D582" t="s">
        <v>17</v>
      </c>
      <c r="E582" t="s">
        <v>32</v>
      </c>
      <c r="F582" t="s">
        <v>19</v>
      </c>
      <c r="G582" t="s">
        <v>29</v>
      </c>
      <c r="H582" t="s">
        <v>26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3</v>
      </c>
      <c r="O582">
        <v>0</v>
      </c>
      <c r="Q582">
        <v>50.2</v>
      </c>
    </row>
    <row r="583" spans="1:17">
      <c r="A583" t="s">
        <v>613</v>
      </c>
      <c r="B583">
        <f>COUNTIF($A$2:A583,A583)</f>
        <v>1</v>
      </c>
      <c r="C583" s="2">
        <v>45797</v>
      </c>
      <c r="D583" t="s">
        <v>17</v>
      </c>
      <c r="E583" t="s">
        <v>28</v>
      </c>
      <c r="F583" t="s">
        <v>19</v>
      </c>
      <c r="G583" t="s">
        <v>29</v>
      </c>
      <c r="H583" t="s">
        <v>26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Q583">
        <v>40.1</v>
      </c>
    </row>
    <row r="584" spans="1:17">
      <c r="A584" t="s">
        <v>614</v>
      </c>
      <c r="B584">
        <f>COUNTIF($A$2:A584,A584)</f>
        <v>1</v>
      </c>
      <c r="C584" s="2">
        <v>45738</v>
      </c>
      <c r="D584" t="s">
        <v>17</v>
      </c>
      <c r="E584" t="s">
        <v>23</v>
      </c>
      <c r="F584" t="s">
        <v>19</v>
      </c>
      <c r="G584" t="s">
        <v>29</v>
      </c>
      <c r="H584" t="s">
        <v>26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Q584">
        <v>61.1</v>
      </c>
    </row>
    <row r="585" spans="1:17">
      <c r="A585" t="s">
        <v>615</v>
      </c>
      <c r="B585">
        <f>COUNTIF($A$2:A585,A585)</f>
        <v>1</v>
      </c>
      <c r="C585" s="2">
        <v>45703</v>
      </c>
      <c r="D585" t="s">
        <v>17</v>
      </c>
      <c r="E585" t="s">
        <v>32</v>
      </c>
      <c r="F585" t="s">
        <v>19</v>
      </c>
      <c r="G585" t="s">
        <v>29</v>
      </c>
      <c r="H585" t="s">
        <v>26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Q585">
        <v>42.4</v>
      </c>
    </row>
    <row r="586" spans="1:17">
      <c r="A586" t="s">
        <v>616</v>
      </c>
      <c r="B586">
        <f>COUNTIF($A$2:A586,A586)</f>
        <v>1</v>
      </c>
      <c r="C586" s="2">
        <v>45665</v>
      </c>
      <c r="D586" t="s">
        <v>17</v>
      </c>
      <c r="E586" t="s">
        <v>18</v>
      </c>
      <c r="F586" t="s">
        <v>24</v>
      </c>
      <c r="G586" t="s">
        <v>41</v>
      </c>
      <c r="H586" t="s">
        <v>26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Q586">
        <v>46.6</v>
      </c>
    </row>
    <row r="587" spans="1:17">
      <c r="A587" t="s">
        <v>617</v>
      </c>
      <c r="B587">
        <f>COUNTIF($A$2:A587,A587)</f>
        <v>1</v>
      </c>
      <c r="C587" s="2">
        <v>45686</v>
      </c>
      <c r="D587" t="s">
        <v>17</v>
      </c>
      <c r="E587" t="s">
        <v>32</v>
      </c>
      <c r="F587" t="s">
        <v>24</v>
      </c>
      <c r="G587" t="s">
        <v>25</v>
      </c>
      <c r="H587" t="s">
        <v>30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Q587">
        <v>72.099999999999994</v>
      </c>
    </row>
    <row r="588" spans="1:17">
      <c r="A588" t="s">
        <v>618</v>
      </c>
      <c r="B588">
        <f>COUNTIF($A$2:A588,A588)</f>
        <v>1</v>
      </c>
      <c r="C588" s="2">
        <v>45784</v>
      </c>
      <c r="D588" t="s">
        <v>17</v>
      </c>
      <c r="E588" t="s">
        <v>28</v>
      </c>
      <c r="F588" t="s">
        <v>34</v>
      </c>
      <c r="G588" t="s">
        <v>25</v>
      </c>
      <c r="H588" t="s">
        <v>26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Q588">
        <v>21.5</v>
      </c>
    </row>
    <row r="589" spans="1:17">
      <c r="A589" t="s">
        <v>619</v>
      </c>
      <c r="B589">
        <f>COUNTIF($A$2:A589,A589)</f>
        <v>1</v>
      </c>
      <c r="C589" s="2">
        <v>45717</v>
      </c>
      <c r="D589" t="s">
        <v>17</v>
      </c>
      <c r="E589" t="s">
        <v>18</v>
      </c>
      <c r="F589" t="s">
        <v>24</v>
      </c>
      <c r="G589" t="s">
        <v>41</v>
      </c>
      <c r="H589" t="s">
        <v>21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Q589">
        <v>65.400000000000006</v>
      </c>
    </row>
    <row r="590" spans="1:17">
      <c r="A590" t="s">
        <v>620</v>
      </c>
      <c r="B590">
        <f>COUNTIF($A$2:A590,A590)</f>
        <v>1</v>
      </c>
      <c r="C590" s="2">
        <v>45767</v>
      </c>
      <c r="D590" t="s">
        <v>17</v>
      </c>
      <c r="E590" t="s">
        <v>28</v>
      </c>
      <c r="F590" t="s">
        <v>24</v>
      </c>
      <c r="G590" t="s">
        <v>25</v>
      </c>
      <c r="H590" t="s">
        <v>26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Q590">
        <v>53.3</v>
      </c>
    </row>
    <row r="591" spans="1:17">
      <c r="A591" t="s">
        <v>621</v>
      </c>
      <c r="B591">
        <f>COUNTIF($A$2:A591,A591)</f>
        <v>1</v>
      </c>
      <c r="C591" s="2">
        <v>45673</v>
      </c>
      <c r="D591" t="s">
        <v>17</v>
      </c>
      <c r="E591" t="s">
        <v>28</v>
      </c>
      <c r="F591" t="s">
        <v>24</v>
      </c>
      <c r="G591" t="s">
        <v>25</v>
      </c>
      <c r="H591" t="s">
        <v>30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</v>
      </c>
      <c r="O591">
        <v>0</v>
      </c>
      <c r="Q591">
        <v>52.3</v>
      </c>
    </row>
    <row r="592" spans="1:17">
      <c r="A592" t="s">
        <v>622</v>
      </c>
      <c r="B592">
        <f>COUNTIF($A$2:A592,A592)</f>
        <v>1</v>
      </c>
      <c r="C592" s="2">
        <v>45751</v>
      </c>
      <c r="D592" t="s">
        <v>17</v>
      </c>
      <c r="E592" t="s">
        <v>28</v>
      </c>
      <c r="F592" t="s">
        <v>24</v>
      </c>
      <c r="G592" t="s">
        <v>29</v>
      </c>
      <c r="H592" t="s">
        <v>26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Q592">
        <v>62.5</v>
      </c>
    </row>
    <row r="593" spans="1:17">
      <c r="A593" t="s">
        <v>623</v>
      </c>
      <c r="B593">
        <f>COUNTIF($A$2:A593,A593)</f>
        <v>1</v>
      </c>
      <c r="C593" s="2">
        <v>45686</v>
      </c>
      <c r="D593" t="s">
        <v>17</v>
      </c>
      <c r="E593" t="s">
        <v>18</v>
      </c>
      <c r="F593" t="s">
        <v>34</v>
      </c>
      <c r="G593" t="s">
        <v>41</v>
      </c>
      <c r="H593" t="s">
        <v>26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Q593">
        <v>69.8</v>
      </c>
    </row>
    <row r="594" spans="1:17">
      <c r="A594" t="s">
        <v>624</v>
      </c>
      <c r="B594">
        <f>COUNTIF($A$2:A594,A594)</f>
        <v>1</v>
      </c>
      <c r="C594" s="2">
        <v>45766</v>
      </c>
      <c r="D594" t="s">
        <v>17</v>
      </c>
      <c r="E594" t="s">
        <v>28</v>
      </c>
      <c r="F594" t="s">
        <v>24</v>
      </c>
      <c r="G594" t="s">
        <v>20</v>
      </c>
      <c r="H594" t="s">
        <v>26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Q594">
        <v>68.2</v>
      </c>
    </row>
    <row r="595" spans="1:17">
      <c r="A595" t="s">
        <v>625</v>
      </c>
      <c r="B595">
        <f>COUNTIF($A$2:A595,A595)</f>
        <v>1</v>
      </c>
      <c r="C595" s="2">
        <v>45726</v>
      </c>
      <c r="D595" t="s">
        <v>17</v>
      </c>
      <c r="E595" t="s">
        <v>32</v>
      </c>
      <c r="F595" t="s">
        <v>24</v>
      </c>
      <c r="G595" t="s">
        <v>41</v>
      </c>
      <c r="H595" t="s">
        <v>21</v>
      </c>
      <c r="I595">
        <v>1</v>
      </c>
      <c r="J595">
        <v>1</v>
      </c>
      <c r="K595">
        <v>1</v>
      </c>
      <c r="L595">
        <v>1</v>
      </c>
      <c r="M595">
        <v>751.73</v>
      </c>
      <c r="N595">
        <v>0</v>
      </c>
      <c r="O595">
        <v>0</v>
      </c>
      <c r="P595">
        <v>6</v>
      </c>
      <c r="Q595">
        <v>35.200000000000003</v>
      </c>
    </row>
    <row r="596" spans="1:17">
      <c r="A596" t="s">
        <v>626</v>
      </c>
      <c r="B596">
        <f>COUNTIF($A$2:A596,A596)</f>
        <v>1</v>
      </c>
      <c r="C596" s="2">
        <v>45787</v>
      </c>
      <c r="D596" t="s">
        <v>17</v>
      </c>
      <c r="E596" t="s">
        <v>32</v>
      </c>
      <c r="F596" t="s">
        <v>24</v>
      </c>
      <c r="G596" t="s">
        <v>41</v>
      </c>
      <c r="H596" t="s">
        <v>21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Q596">
        <v>59.3</v>
      </c>
    </row>
    <row r="597" spans="1:17">
      <c r="A597" t="s">
        <v>627</v>
      </c>
      <c r="B597">
        <f>COUNTIF($A$2:A597,A597)</f>
        <v>1</v>
      </c>
      <c r="C597" s="2">
        <v>45690</v>
      </c>
      <c r="D597" t="s">
        <v>17</v>
      </c>
      <c r="E597" t="s">
        <v>18</v>
      </c>
      <c r="F597" t="s">
        <v>24</v>
      </c>
      <c r="G597" t="s">
        <v>41</v>
      </c>
      <c r="H597" t="s">
        <v>26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Q597">
        <v>68.099999999999994</v>
      </c>
    </row>
    <row r="598" spans="1:17">
      <c r="A598" t="s">
        <v>628</v>
      </c>
      <c r="B598">
        <f>COUNTIF($A$2:A598,A598)</f>
        <v>1</v>
      </c>
      <c r="C598" s="2">
        <v>45783</v>
      </c>
      <c r="D598" t="s">
        <v>17</v>
      </c>
      <c r="E598" t="s">
        <v>18</v>
      </c>
      <c r="F598" t="s">
        <v>19</v>
      </c>
      <c r="G598" t="s">
        <v>25</v>
      </c>
      <c r="H598" t="s">
        <v>26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Q598">
        <v>74.8</v>
      </c>
    </row>
    <row r="599" spans="1:17">
      <c r="A599" t="s">
        <v>629</v>
      </c>
      <c r="B599">
        <f>COUNTIF($A$2:A599,A599)</f>
        <v>1</v>
      </c>
      <c r="C599" s="2">
        <v>45676</v>
      </c>
      <c r="D599" t="s">
        <v>17</v>
      </c>
      <c r="E599" t="s">
        <v>23</v>
      </c>
      <c r="F599" t="s">
        <v>19</v>
      </c>
      <c r="G599" t="s">
        <v>25</v>
      </c>
      <c r="H599" t="s">
        <v>26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Q599">
        <v>61.7</v>
      </c>
    </row>
    <row r="600" spans="1:17">
      <c r="A600" t="s">
        <v>630</v>
      </c>
      <c r="B600">
        <f>COUNTIF($A$2:A600,A600)</f>
        <v>1</v>
      </c>
      <c r="C600" s="2">
        <v>45659</v>
      </c>
      <c r="D600" t="s">
        <v>17</v>
      </c>
      <c r="E600" t="s">
        <v>18</v>
      </c>
      <c r="F600" t="s">
        <v>24</v>
      </c>
      <c r="G600" t="s">
        <v>25</v>
      </c>
      <c r="H600" t="s">
        <v>26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Q600">
        <v>24.3</v>
      </c>
    </row>
    <row r="601" spans="1:17">
      <c r="A601" t="s">
        <v>631</v>
      </c>
      <c r="B601">
        <f>COUNTIF($A$2:A601,A601)</f>
        <v>1</v>
      </c>
      <c r="C601" s="2">
        <v>45780</v>
      </c>
      <c r="D601" t="s">
        <v>17</v>
      </c>
      <c r="E601" t="s">
        <v>32</v>
      </c>
      <c r="F601" t="s">
        <v>19</v>
      </c>
      <c r="G601" t="s">
        <v>29</v>
      </c>
      <c r="H601" t="s">
        <v>26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Q601">
        <v>61.9</v>
      </c>
    </row>
    <row r="602" spans="1:17">
      <c r="A602" t="s">
        <v>632</v>
      </c>
      <c r="B602">
        <f>COUNTIF($A$2:A602,A602)</f>
        <v>1</v>
      </c>
      <c r="C602" s="2">
        <v>45804</v>
      </c>
      <c r="D602" t="s">
        <v>17</v>
      </c>
      <c r="E602" t="s">
        <v>28</v>
      </c>
      <c r="F602" t="s">
        <v>19</v>
      </c>
      <c r="G602" t="s">
        <v>39</v>
      </c>
      <c r="H602" t="s">
        <v>30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</v>
      </c>
      <c r="O602">
        <v>0</v>
      </c>
      <c r="Q602">
        <v>41.7</v>
      </c>
    </row>
    <row r="603" spans="1:17">
      <c r="A603" t="s">
        <v>633</v>
      </c>
      <c r="B603">
        <f>COUNTIF($A$2:A603,A603)</f>
        <v>1</v>
      </c>
      <c r="C603" s="2">
        <v>45697</v>
      </c>
      <c r="D603" t="s">
        <v>17</v>
      </c>
      <c r="E603" t="s">
        <v>32</v>
      </c>
      <c r="F603" t="s">
        <v>19</v>
      </c>
      <c r="G603" t="s">
        <v>41</v>
      </c>
      <c r="H603" t="s">
        <v>26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Q603">
        <v>87.6</v>
      </c>
    </row>
    <row r="604" spans="1:17">
      <c r="A604" t="s">
        <v>634</v>
      </c>
      <c r="B604">
        <f>COUNTIF($A$2:A604,A604)</f>
        <v>1</v>
      </c>
      <c r="C604" s="2">
        <v>45795</v>
      </c>
      <c r="D604" t="s">
        <v>17</v>
      </c>
      <c r="E604" t="s">
        <v>28</v>
      </c>
      <c r="F604" t="s">
        <v>24</v>
      </c>
      <c r="G604" t="s">
        <v>29</v>
      </c>
      <c r="H604" t="s">
        <v>26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Q604">
        <v>30.8</v>
      </c>
    </row>
    <row r="605" spans="1:17">
      <c r="A605" t="s">
        <v>635</v>
      </c>
      <c r="B605">
        <f>COUNTIF($A$2:A605,A605)</f>
        <v>1</v>
      </c>
      <c r="C605" s="2">
        <v>45794</v>
      </c>
      <c r="D605" t="s">
        <v>17</v>
      </c>
      <c r="E605" t="s">
        <v>18</v>
      </c>
      <c r="F605" t="s">
        <v>24</v>
      </c>
      <c r="G605" t="s">
        <v>20</v>
      </c>
      <c r="H605" t="s">
        <v>26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Q605">
        <v>54</v>
      </c>
    </row>
    <row r="606" spans="1:17">
      <c r="A606" t="s">
        <v>636</v>
      </c>
      <c r="B606">
        <f>COUNTIF($A$2:A606,A606)</f>
        <v>1</v>
      </c>
      <c r="C606" s="2">
        <v>45682</v>
      </c>
      <c r="D606" t="s">
        <v>17</v>
      </c>
      <c r="E606" t="s">
        <v>28</v>
      </c>
      <c r="F606" t="s">
        <v>19</v>
      </c>
      <c r="G606" t="s">
        <v>39</v>
      </c>
      <c r="H606" t="s">
        <v>21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Q606">
        <v>54.5</v>
      </c>
    </row>
    <row r="607" spans="1:17">
      <c r="A607" t="s">
        <v>637</v>
      </c>
      <c r="B607">
        <f>COUNTIF($A$2:A607,A607)</f>
        <v>1</v>
      </c>
      <c r="C607" s="2">
        <v>45781</v>
      </c>
      <c r="D607" t="s">
        <v>17</v>
      </c>
      <c r="E607" t="s">
        <v>23</v>
      </c>
      <c r="F607" t="s">
        <v>24</v>
      </c>
      <c r="G607" t="s">
        <v>29</v>
      </c>
      <c r="H607" t="s">
        <v>30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Q607">
        <v>61.3</v>
      </c>
    </row>
    <row r="608" spans="1:17">
      <c r="A608" t="s">
        <v>638</v>
      </c>
      <c r="B608">
        <f>COUNTIF($A$2:A608,A608)</f>
        <v>1</v>
      </c>
      <c r="C608" s="2">
        <v>45761</v>
      </c>
      <c r="D608" t="s">
        <v>17</v>
      </c>
      <c r="E608" t="s">
        <v>23</v>
      </c>
      <c r="F608" t="s">
        <v>24</v>
      </c>
      <c r="G608" t="s">
        <v>25</v>
      </c>
      <c r="H608" t="s">
        <v>26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Q608">
        <v>62.7</v>
      </c>
    </row>
    <row r="609" spans="1:17">
      <c r="A609" t="s">
        <v>639</v>
      </c>
      <c r="B609">
        <f>COUNTIF($A$2:A609,A609)</f>
        <v>1</v>
      </c>
      <c r="C609" s="2">
        <v>45765</v>
      </c>
      <c r="D609" t="s">
        <v>17</v>
      </c>
      <c r="E609" t="s">
        <v>32</v>
      </c>
      <c r="F609" t="s">
        <v>24</v>
      </c>
      <c r="G609" t="s">
        <v>29</v>
      </c>
      <c r="H609" t="s">
        <v>26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Q609">
        <v>43.1</v>
      </c>
    </row>
    <row r="610" spans="1:17">
      <c r="A610" t="s">
        <v>640</v>
      </c>
      <c r="B610">
        <f>COUNTIF($A$2:A610,A610)</f>
        <v>1</v>
      </c>
      <c r="C610" s="2">
        <v>45712</v>
      </c>
      <c r="D610" t="s">
        <v>17</v>
      </c>
      <c r="E610" t="s">
        <v>32</v>
      </c>
      <c r="F610" t="s">
        <v>19</v>
      </c>
      <c r="G610" t="s">
        <v>20</v>
      </c>
      <c r="H610" t="s">
        <v>21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Q610">
        <v>59.9</v>
      </c>
    </row>
    <row r="611" spans="1:17">
      <c r="A611" t="s">
        <v>641</v>
      </c>
      <c r="B611">
        <f>COUNTIF($A$2:A611,A611)</f>
        <v>1</v>
      </c>
      <c r="C611" s="2">
        <v>45766</v>
      </c>
      <c r="D611" t="s">
        <v>17</v>
      </c>
      <c r="E611" t="s">
        <v>18</v>
      </c>
      <c r="F611" t="s">
        <v>34</v>
      </c>
      <c r="G611" t="s">
        <v>29</v>
      </c>
      <c r="H611" t="s">
        <v>26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Q611">
        <v>55.7</v>
      </c>
    </row>
    <row r="612" spans="1:17">
      <c r="A612" t="s">
        <v>642</v>
      </c>
      <c r="B612">
        <f>COUNTIF($A$2:A612,A612)</f>
        <v>1</v>
      </c>
      <c r="C612" s="2">
        <v>45723</v>
      </c>
      <c r="D612" t="s">
        <v>17</v>
      </c>
      <c r="E612" t="s">
        <v>32</v>
      </c>
      <c r="F612" t="s">
        <v>19</v>
      </c>
      <c r="G612" t="s">
        <v>25</v>
      </c>
      <c r="H612" t="s">
        <v>21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Q612">
        <v>37.1</v>
      </c>
    </row>
    <row r="613" spans="1:17">
      <c r="A613" t="s">
        <v>643</v>
      </c>
      <c r="B613">
        <f>COUNTIF($A$2:A613,A613)</f>
        <v>1</v>
      </c>
      <c r="C613" s="2">
        <v>45725</v>
      </c>
      <c r="D613" t="s">
        <v>17</v>
      </c>
      <c r="E613" t="s">
        <v>28</v>
      </c>
      <c r="F613" t="s">
        <v>24</v>
      </c>
      <c r="G613" t="s">
        <v>25</v>
      </c>
      <c r="H613" t="s">
        <v>21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Q613">
        <v>46.7</v>
      </c>
    </row>
    <row r="614" spans="1:17">
      <c r="A614" t="s">
        <v>644</v>
      </c>
      <c r="B614">
        <f>COUNTIF($A$2:A614,A614)</f>
        <v>1</v>
      </c>
      <c r="C614" s="2">
        <v>45778</v>
      </c>
      <c r="D614" t="s">
        <v>17</v>
      </c>
      <c r="E614" t="s">
        <v>32</v>
      </c>
      <c r="F614" t="s">
        <v>19</v>
      </c>
      <c r="G614" t="s">
        <v>25</v>
      </c>
      <c r="H614" t="s">
        <v>21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Q614">
        <v>54.1</v>
      </c>
    </row>
    <row r="615" spans="1:17">
      <c r="A615" t="s">
        <v>645</v>
      </c>
      <c r="B615">
        <f>COUNTIF($A$2:A615,A615)</f>
        <v>1</v>
      </c>
      <c r="C615" s="2">
        <v>45697</v>
      </c>
      <c r="D615" t="s">
        <v>17</v>
      </c>
      <c r="E615" t="s">
        <v>23</v>
      </c>
      <c r="F615" t="s">
        <v>19</v>
      </c>
      <c r="G615" t="s">
        <v>25</v>
      </c>
      <c r="H615" t="s">
        <v>30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Q615">
        <v>56.1</v>
      </c>
    </row>
    <row r="616" spans="1:17">
      <c r="A616" t="s">
        <v>646</v>
      </c>
      <c r="B616">
        <f>COUNTIF($A$2:A616,A616)</f>
        <v>1</v>
      </c>
      <c r="C616" s="2">
        <v>45799</v>
      </c>
      <c r="D616" t="s">
        <v>17</v>
      </c>
      <c r="E616" t="s">
        <v>23</v>
      </c>
      <c r="F616" t="s">
        <v>24</v>
      </c>
      <c r="G616" t="s">
        <v>39</v>
      </c>
      <c r="H616" t="s">
        <v>30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Q616">
        <v>23.6</v>
      </c>
    </row>
    <row r="617" spans="1:17">
      <c r="A617" t="s">
        <v>647</v>
      </c>
      <c r="B617">
        <f>COUNTIF($A$2:A617,A617)</f>
        <v>1</v>
      </c>
      <c r="C617" s="2">
        <v>45699</v>
      </c>
      <c r="D617" t="s">
        <v>17</v>
      </c>
      <c r="E617" t="s">
        <v>18</v>
      </c>
      <c r="F617" t="s">
        <v>24</v>
      </c>
      <c r="G617" t="s">
        <v>25</v>
      </c>
      <c r="H617" t="s">
        <v>30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Q617">
        <v>54.7</v>
      </c>
    </row>
    <row r="618" spans="1:17">
      <c r="A618" t="s">
        <v>648</v>
      </c>
      <c r="B618">
        <f>COUNTIF($A$2:A618,A618)</f>
        <v>1</v>
      </c>
      <c r="C618" s="2">
        <v>45759</v>
      </c>
      <c r="D618" t="s">
        <v>17</v>
      </c>
      <c r="E618" t="s">
        <v>18</v>
      </c>
      <c r="F618" t="s">
        <v>24</v>
      </c>
      <c r="G618" t="s">
        <v>39</v>
      </c>
      <c r="H618" t="s">
        <v>21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  <c r="Q618">
        <v>50.4</v>
      </c>
    </row>
    <row r="619" spans="1:17">
      <c r="A619" t="s">
        <v>649</v>
      </c>
      <c r="B619">
        <f>COUNTIF($A$2:A619,A619)</f>
        <v>1</v>
      </c>
      <c r="C619" s="2">
        <v>45717</v>
      </c>
      <c r="D619" t="s">
        <v>17</v>
      </c>
      <c r="E619" t="s">
        <v>23</v>
      </c>
      <c r="F619" t="s">
        <v>24</v>
      </c>
      <c r="G619" t="s">
        <v>41</v>
      </c>
      <c r="H619" t="s">
        <v>26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Q619">
        <v>54.5</v>
      </c>
    </row>
    <row r="620" spans="1:17">
      <c r="A620" t="s">
        <v>650</v>
      </c>
      <c r="B620">
        <f>COUNTIF($A$2:A620,A620)</f>
        <v>1</v>
      </c>
      <c r="C620" s="2">
        <v>45733</v>
      </c>
      <c r="D620" t="s">
        <v>17</v>
      </c>
      <c r="E620" t="s">
        <v>23</v>
      </c>
      <c r="F620" t="s">
        <v>19</v>
      </c>
      <c r="G620" t="s">
        <v>20</v>
      </c>
      <c r="H620" t="s">
        <v>21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Q620">
        <v>58</v>
      </c>
    </row>
    <row r="621" spans="1:17">
      <c r="A621" t="s">
        <v>651</v>
      </c>
      <c r="B621">
        <f>COUNTIF($A$2:A621,A621)</f>
        <v>1</v>
      </c>
      <c r="C621" s="2">
        <v>45668</v>
      </c>
      <c r="D621" t="s">
        <v>17</v>
      </c>
      <c r="E621" t="s">
        <v>18</v>
      </c>
      <c r="F621" t="s">
        <v>24</v>
      </c>
      <c r="G621" t="s">
        <v>29</v>
      </c>
      <c r="H621" t="s">
        <v>26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Q621">
        <v>42.9</v>
      </c>
    </row>
    <row r="622" spans="1:17">
      <c r="A622" t="s">
        <v>652</v>
      </c>
      <c r="B622">
        <f>COUNTIF($A$2:A622,A622)</f>
        <v>1</v>
      </c>
      <c r="C622" s="2">
        <v>45705</v>
      </c>
      <c r="D622" t="s">
        <v>17</v>
      </c>
      <c r="E622" t="s">
        <v>32</v>
      </c>
      <c r="F622" t="s">
        <v>24</v>
      </c>
      <c r="G622" t="s">
        <v>41</v>
      </c>
      <c r="H622" t="s">
        <v>30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Q622">
        <v>51.1</v>
      </c>
    </row>
    <row r="623" spans="1:17">
      <c r="A623" t="s">
        <v>653</v>
      </c>
      <c r="B623">
        <f>COUNTIF($A$2:A623,A623)</f>
        <v>1</v>
      </c>
      <c r="C623" s="2">
        <v>45741</v>
      </c>
      <c r="D623" t="s">
        <v>17</v>
      </c>
      <c r="E623" t="s">
        <v>28</v>
      </c>
      <c r="F623" t="s">
        <v>24</v>
      </c>
      <c r="G623" t="s">
        <v>29</v>
      </c>
      <c r="H623" t="s">
        <v>21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Q623">
        <v>51.8</v>
      </c>
    </row>
    <row r="624" spans="1:17">
      <c r="A624" t="s">
        <v>654</v>
      </c>
      <c r="B624">
        <f>COUNTIF($A$2:A624,A624)</f>
        <v>1</v>
      </c>
      <c r="C624" s="2">
        <v>45778</v>
      </c>
      <c r="D624" t="s">
        <v>17</v>
      </c>
      <c r="E624" t="s">
        <v>32</v>
      </c>
      <c r="F624" t="s">
        <v>24</v>
      </c>
      <c r="G624" t="s">
        <v>29</v>
      </c>
      <c r="H624" t="s">
        <v>26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Q624">
        <v>67.7</v>
      </c>
    </row>
    <row r="625" spans="1:17">
      <c r="A625" t="s">
        <v>655</v>
      </c>
      <c r="B625">
        <f>COUNTIF($A$2:A625,A625)</f>
        <v>1</v>
      </c>
      <c r="C625" s="2">
        <v>45749</v>
      </c>
      <c r="D625" t="s">
        <v>17</v>
      </c>
      <c r="E625" t="s">
        <v>28</v>
      </c>
      <c r="F625" t="s">
        <v>24</v>
      </c>
      <c r="G625" t="s">
        <v>25</v>
      </c>
      <c r="H625" t="s">
        <v>21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Q625">
        <v>75.8</v>
      </c>
    </row>
    <row r="626" spans="1:17">
      <c r="A626" t="s">
        <v>656</v>
      </c>
      <c r="B626">
        <f>COUNTIF($A$2:A626,A626)</f>
        <v>1</v>
      </c>
      <c r="C626" s="2">
        <v>45752</v>
      </c>
      <c r="D626" t="s">
        <v>17</v>
      </c>
      <c r="E626" t="s">
        <v>28</v>
      </c>
      <c r="F626" t="s">
        <v>24</v>
      </c>
      <c r="G626" t="s">
        <v>20</v>
      </c>
      <c r="H626" t="s">
        <v>26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Q626">
        <v>72.8</v>
      </c>
    </row>
    <row r="627" spans="1:17">
      <c r="A627" t="s">
        <v>657</v>
      </c>
      <c r="B627">
        <f>COUNTIF($A$2:A627,A627)</f>
        <v>1</v>
      </c>
      <c r="C627" s="2">
        <v>45712</v>
      </c>
      <c r="D627" t="s">
        <v>17</v>
      </c>
      <c r="E627" t="s">
        <v>18</v>
      </c>
      <c r="F627" t="s">
        <v>19</v>
      </c>
      <c r="G627" t="s">
        <v>41</v>
      </c>
      <c r="H627" t="s">
        <v>26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Q627">
        <v>54.4</v>
      </c>
    </row>
    <row r="628" spans="1:17">
      <c r="A628" t="s">
        <v>658</v>
      </c>
      <c r="B628">
        <f>COUNTIF($A$2:A628,A628)</f>
        <v>1</v>
      </c>
      <c r="C628" s="2">
        <v>45681</v>
      </c>
      <c r="D628" t="s">
        <v>17</v>
      </c>
      <c r="E628" t="s">
        <v>23</v>
      </c>
      <c r="F628" t="s">
        <v>24</v>
      </c>
      <c r="G628" t="s">
        <v>29</v>
      </c>
      <c r="H628" t="s">
        <v>21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Q628">
        <v>51.8</v>
      </c>
    </row>
    <row r="629" spans="1:17">
      <c r="A629" t="s">
        <v>659</v>
      </c>
      <c r="B629">
        <f>COUNTIF($A$2:A629,A629)</f>
        <v>1</v>
      </c>
      <c r="C629" s="2">
        <v>45757</v>
      </c>
      <c r="D629" t="s">
        <v>17</v>
      </c>
      <c r="E629" t="s">
        <v>32</v>
      </c>
      <c r="F629" t="s">
        <v>24</v>
      </c>
      <c r="G629" t="s">
        <v>29</v>
      </c>
      <c r="H629" t="s">
        <v>26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Q629">
        <v>40.299999999999997</v>
      </c>
    </row>
    <row r="630" spans="1:17">
      <c r="A630" t="s">
        <v>660</v>
      </c>
      <c r="B630">
        <f>COUNTIF($A$2:A630,A630)</f>
        <v>1</v>
      </c>
      <c r="C630" s="2">
        <v>45707</v>
      </c>
      <c r="D630" t="s">
        <v>17</v>
      </c>
      <c r="E630" t="s">
        <v>32</v>
      </c>
      <c r="F630" t="s">
        <v>24</v>
      </c>
      <c r="G630" t="s">
        <v>39</v>
      </c>
      <c r="H630" t="s">
        <v>26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Q630">
        <v>61.7</v>
      </c>
    </row>
    <row r="631" spans="1:17">
      <c r="A631" t="s">
        <v>661</v>
      </c>
      <c r="B631">
        <f>COUNTIF($A$2:A631,A631)</f>
        <v>1</v>
      </c>
      <c r="C631" s="2">
        <v>45738</v>
      </c>
      <c r="D631" t="s">
        <v>17</v>
      </c>
      <c r="E631" t="s">
        <v>18</v>
      </c>
      <c r="F631" t="s">
        <v>24</v>
      </c>
      <c r="G631" t="s">
        <v>41</v>
      </c>
      <c r="H631" t="s">
        <v>26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Q631">
        <v>45</v>
      </c>
    </row>
    <row r="632" spans="1:17">
      <c r="A632" t="s">
        <v>662</v>
      </c>
      <c r="B632">
        <f>COUNTIF($A$2:A632,A632)</f>
        <v>1</v>
      </c>
      <c r="C632" s="2">
        <v>45755</v>
      </c>
      <c r="D632" t="s">
        <v>17</v>
      </c>
      <c r="E632" t="s">
        <v>28</v>
      </c>
      <c r="F632" t="s">
        <v>19</v>
      </c>
      <c r="G632" t="s">
        <v>25</v>
      </c>
      <c r="H632" t="s">
        <v>30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Q632">
        <v>60</v>
      </c>
    </row>
    <row r="633" spans="1:17">
      <c r="A633" t="s">
        <v>663</v>
      </c>
      <c r="B633">
        <f>COUNTIF($A$2:A633,A633)</f>
        <v>1</v>
      </c>
      <c r="C633" s="2">
        <v>45732</v>
      </c>
      <c r="D633" t="s">
        <v>17</v>
      </c>
      <c r="E633" t="s">
        <v>18</v>
      </c>
      <c r="F633" t="s">
        <v>24</v>
      </c>
      <c r="G633" t="s">
        <v>41</v>
      </c>
      <c r="H633" t="s">
        <v>26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7">
      <c r="A634" t="s">
        <v>664</v>
      </c>
      <c r="B634">
        <f>COUNTIF($A$2:A634,A634)</f>
        <v>1</v>
      </c>
      <c r="C634" s="2">
        <v>45723</v>
      </c>
      <c r="D634" t="s">
        <v>17</v>
      </c>
      <c r="E634" t="s">
        <v>28</v>
      </c>
      <c r="F634" t="s">
        <v>24</v>
      </c>
      <c r="G634" t="s">
        <v>29</v>
      </c>
      <c r="H634" t="s">
        <v>26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Q634">
        <v>55.5</v>
      </c>
    </row>
    <row r="635" spans="1:17">
      <c r="A635" t="s">
        <v>665</v>
      </c>
      <c r="B635">
        <f>COUNTIF($A$2:A635,A635)</f>
        <v>1</v>
      </c>
      <c r="C635" s="2">
        <v>45732</v>
      </c>
      <c r="D635" t="s">
        <v>17</v>
      </c>
      <c r="E635" t="s">
        <v>32</v>
      </c>
      <c r="F635" t="s">
        <v>24</v>
      </c>
      <c r="G635" t="s">
        <v>39</v>
      </c>
      <c r="H635" t="s">
        <v>21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Q635">
        <v>51.8</v>
      </c>
    </row>
    <row r="636" spans="1:17">
      <c r="A636" t="s">
        <v>666</v>
      </c>
      <c r="B636">
        <f>COUNTIF($A$2:A636,A636)</f>
        <v>1</v>
      </c>
      <c r="C636" s="2">
        <v>45803</v>
      </c>
      <c r="D636" t="s">
        <v>17</v>
      </c>
      <c r="E636" t="s">
        <v>28</v>
      </c>
      <c r="F636" t="s">
        <v>24</v>
      </c>
      <c r="H636" t="s">
        <v>30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3</v>
      </c>
      <c r="O636">
        <v>0</v>
      </c>
      <c r="Q636">
        <v>56</v>
      </c>
    </row>
    <row r="637" spans="1:17">
      <c r="A637" t="s">
        <v>667</v>
      </c>
      <c r="B637">
        <f>COUNTIF($A$2:A637,A637)</f>
        <v>1</v>
      </c>
      <c r="C637" s="2">
        <v>45671</v>
      </c>
      <c r="D637" t="s">
        <v>17</v>
      </c>
      <c r="E637" t="s">
        <v>23</v>
      </c>
      <c r="F637" t="s">
        <v>24</v>
      </c>
      <c r="G637" t="s">
        <v>25</v>
      </c>
      <c r="H637" t="s">
        <v>26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Q637">
        <v>52.5</v>
      </c>
    </row>
    <row r="638" spans="1:17">
      <c r="A638" t="s">
        <v>668</v>
      </c>
      <c r="B638">
        <f>COUNTIF($A$2:A638,A638)</f>
        <v>1</v>
      </c>
      <c r="C638" s="2">
        <v>45746</v>
      </c>
      <c r="D638" t="s">
        <v>17</v>
      </c>
      <c r="E638" t="s">
        <v>23</v>
      </c>
      <c r="F638" t="s">
        <v>24</v>
      </c>
      <c r="G638" t="s">
        <v>29</v>
      </c>
      <c r="H638" t="s">
        <v>30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Q638">
        <v>42.5</v>
      </c>
    </row>
    <row r="639" spans="1:17">
      <c r="A639" t="s">
        <v>669</v>
      </c>
      <c r="B639">
        <f>COUNTIF($A$2:A639,A639)</f>
        <v>1</v>
      </c>
      <c r="C639" s="2">
        <v>45789</v>
      </c>
      <c r="D639" t="s">
        <v>17</v>
      </c>
      <c r="E639" t="s">
        <v>28</v>
      </c>
      <c r="F639" t="s">
        <v>19</v>
      </c>
      <c r="G639" t="s">
        <v>20</v>
      </c>
      <c r="H639" t="s">
        <v>26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0</v>
      </c>
      <c r="Q639">
        <v>65.3</v>
      </c>
    </row>
    <row r="640" spans="1:17">
      <c r="A640" t="s">
        <v>670</v>
      </c>
      <c r="B640">
        <f>COUNTIF($A$2:A640,A640)</f>
        <v>1</v>
      </c>
      <c r="C640" s="2">
        <v>45787</v>
      </c>
      <c r="D640" t="s">
        <v>17</v>
      </c>
      <c r="E640" t="s">
        <v>23</v>
      </c>
      <c r="F640" t="s">
        <v>24</v>
      </c>
      <c r="G640" t="s">
        <v>29</v>
      </c>
      <c r="H640" t="s">
        <v>26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Q640">
        <v>37.6</v>
      </c>
    </row>
    <row r="641" spans="1:17">
      <c r="A641" t="s">
        <v>671</v>
      </c>
      <c r="B641">
        <f>COUNTIF($A$2:A641,A641)</f>
        <v>1</v>
      </c>
      <c r="C641" s="2">
        <v>45756</v>
      </c>
      <c r="D641" t="s">
        <v>17</v>
      </c>
      <c r="E641" t="s">
        <v>28</v>
      </c>
      <c r="F641" t="s">
        <v>24</v>
      </c>
      <c r="G641" t="s">
        <v>41</v>
      </c>
      <c r="H641" t="s">
        <v>21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Q641">
        <v>57.8</v>
      </c>
    </row>
    <row r="642" spans="1:17">
      <c r="A642" t="s">
        <v>672</v>
      </c>
      <c r="B642">
        <f>COUNTIF($A$2:A642,A642)</f>
        <v>1</v>
      </c>
      <c r="C642" s="2">
        <v>45803</v>
      </c>
      <c r="D642" t="s">
        <v>17</v>
      </c>
      <c r="E642" t="s">
        <v>18</v>
      </c>
      <c r="F642" t="s">
        <v>24</v>
      </c>
      <c r="G642" t="s">
        <v>41</v>
      </c>
      <c r="H642" t="s">
        <v>26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Q642">
        <v>52.7</v>
      </c>
    </row>
    <row r="643" spans="1:17">
      <c r="A643" t="s">
        <v>673</v>
      </c>
      <c r="B643">
        <f>COUNTIF($A$2:A643,A643)</f>
        <v>1</v>
      </c>
      <c r="C643" s="2">
        <v>45700</v>
      </c>
      <c r="D643" t="s">
        <v>17</v>
      </c>
      <c r="E643" t="s">
        <v>18</v>
      </c>
      <c r="F643" t="s">
        <v>24</v>
      </c>
      <c r="G643" t="s">
        <v>25</v>
      </c>
      <c r="H643" t="s">
        <v>26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Q643">
        <v>51.7</v>
      </c>
    </row>
    <row r="644" spans="1:17">
      <c r="A644" t="s">
        <v>674</v>
      </c>
      <c r="B644">
        <f>COUNTIF($A$2:A644,A644)</f>
        <v>1</v>
      </c>
      <c r="C644" s="2">
        <v>45748</v>
      </c>
      <c r="D644" t="s">
        <v>17</v>
      </c>
      <c r="E644" t="s">
        <v>18</v>
      </c>
      <c r="F644" t="s">
        <v>19</v>
      </c>
      <c r="G644" t="s">
        <v>20</v>
      </c>
      <c r="H644" t="s">
        <v>21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Q644">
        <v>57</v>
      </c>
    </row>
    <row r="645" spans="1:17">
      <c r="A645" t="s">
        <v>675</v>
      </c>
      <c r="B645">
        <f>COUNTIF($A$2:A645,A645)</f>
        <v>1</v>
      </c>
      <c r="C645" s="2">
        <v>45675</v>
      </c>
      <c r="D645" t="s">
        <v>17</v>
      </c>
      <c r="E645" t="s">
        <v>32</v>
      </c>
      <c r="F645" t="s">
        <v>19</v>
      </c>
      <c r="G645" t="s">
        <v>25</v>
      </c>
      <c r="H645" t="s">
        <v>21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Q645">
        <v>39.5</v>
      </c>
    </row>
    <row r="646" spans="1:17">
      <c r="A646" t="s">
        <v>676</v>
      </c>
      <c r="B646">
        <f>COUNTIF($A$2:A646,A646)</f>
        <v>1</v>
      </c>
      <c r="C646" s="2">
        <v>45753</v>
      </c>
      <c r="D646" t="s">
        <v>17</v>
      </c>
      <c r="E646" t="s">
        <v>28</v>
      </c>
      <c r="F646" t="s">
        <v>34</v>
      </c>
      <c r="G646" t="s">
        <v>25</v>
      </c>
      <c r="H646" t="s">
        <v>26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Q646">
        <v>76.5</v>
      </c>
    </row>
    <row r="647" spans="1:17">
      <c r="A647" t="s">
        <v>677</v>
      </c>
      <c r="B647">
        <f>COUNTIF($A$2:A647,A647)</f>
        <v>1</v>
      </c>
      <c r="C647" s="2">
        <v>45764</v>
      </c>
      <c r="D647" t="s">
        <v>17</v>
      </c>
      <c r="E647" t="s">
        <v>28</v>
      </c>
      <c r="F647" t="s">
        <v>24</v>
      </c>
      <c r="G647" t="s">
        <v>25</v>
      </c>
      <c r="H647" t="s">
        <v>26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Q647">
        <v>32.4</v>
      </c>
    </row>
    <row r="648" spans="1:17">
      <c r="A648" t="s">
        <v>678</v>
      </c>
      <c r="B648">
        <f>COUNTIF($A$2:A648,A648)</f>
        <v>1</v>
      </c>
      <c r="C648" s="2">
        <v>45695</v>
      </c>
      <c r="D648" t="s">
        <v>17</v>
      </c>
      <c r="E648" t="s">
        <v>18</v>
      </c>
      <c r="F648" t="s">
        <v>19</v>
      </c>
      <c r="G648" t="s">
        <v>29</v>
      </c>
      <c r="H648" t="s">
        <v>26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Q648">
        <v>58.6</v>
      </c>
    </row>
    <row r="649" spans="1:17">
      <c r="A649" t="s">
        <v>679</v>
      </c>
      <c r="B649">
        <f>COUNTIF($A$2:A649,A649)</f>
        <v>1</v>
      </c>
      <c r="C649" s="2">
        <v>45720</v>
      </c>
      <c r="D649" t="s">
        <v>17</v>
      </c>
      <c r="E649" t="s">
        <v>28</v>
      </c>
      <c r="F649" t="s">
        <v>24</v>
      </c>
      <c r="G649" t="s">
        <v>25</v>
      </c>
      <c r="H649" t="s">
        <v>21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Q649">
        <v>78.599999999999994</v>
      </c>
    </row>
    <row r="650" spans="1:17">
      <c r="A650" t="s">
        <v>680</v>
      </c>
      <c r="B650">
        <f>COUNTIF($A$2:A650,A650)</f>
        <v>1</v>
      </c>
      <c r="C650" s="2">
        <v>45705</v>
      </c>
      <c r="D650" t="s">
        <v>17</v>
      </c>
      <c r="E650" t="s">
        <v>18</v>
      </c>
      <c r="F650" t="s">
        <v>19</v>
      </c>
      <c r="G650" t="s">
        <v>25</v>
      </c>
      <c r="H650" t="s">
        <v>30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Q650">
        <v>54.5</v>
      </c>
    </row>
    <row r="651" spans="1:17">
      <c r="A651" t="s">
        <v>681</v>
      </c>
      <c r="B651">
        <f>COUNTIF($A$2:A651,A651)</f>
        <v>1</v>
      </c>
      <c r="C651" s="2">
        <v>45783</v>
      </c>
      <c r="D651" t="s">
        <v>17</v>
      </c>
      <c r="E651" t="s">
        <v>32</v>
      </c>
      <c r="F651" t="s">
        <v>24</v>
      </c>
      <c r="G651" t="s">
        <v>39</v>
      </c>
      <c r="H651" t="s">
        <v>26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Q651">
        <v>57.6</v>
      </c>
    </row>
    <row r="652" spans="1:17">
      <c r="A652" t="s">
        <v>682</v>
      </c>
      <c r="B652">
        <f>COUNTIF($A$2:A652,A652)</f>
        <v>1</v>
      </c>
      <c r="C652" s="2">
        <v>45741</v>
      </c>
      <c r="D652" t="s">
        <v>17</v>
      </c>
      <c r="E652" t="s">
        <v>32</v>
      </c>
      <c r="F652" t="s">
        <v>24</v>
      </c>
      <c r="G652" t="s">
        <v>39</v>
      </c>
      <c r="H652" t="s">
        <v>30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Q652">
        <v>52.8</v>
      </c>
    </row>
    <row r="653" spans="1:17">
      <c r="A653" t="s">
        <v>683</v>
      </c>
      <c r="B653">
        <f>COUNTIF($A$2:A653,A653)</f>
        <v>1</v>
      </c>
      <c r="C653" s="2">
        <v>45720</v>
      </c>
      <c r="D653" t="s">
        <v>17</v>
      </c>
      <c r="E653" t="s">
        <v>23</v>
      </c>
      <c r="F653" t="s">
        <v>24</v>
      </c>
      <c r="G653" t="s">
        <v>20</v>
      </c>
      <c r="H653" t="s">
        <v>30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Q653">
        <v>52.9</v>
      </c>
    </row>
    <row r="654" spans="1:17">
      <c r="A654" t="s">
        <v>684</v>
      </c>
      <c r="B654">
        <f>COUNTIF($A$2:A654,A654)</f>
        <v>1</v>
      </c>
      <c r="C654" s="2">
        <v>45786</v>
      </c>
      <c r="D654" t="s">
        <v>17</v>
      </c>
      <c r="E654" t="s">
        <v>23</v>
      </c>
      <c r="F654" t="s">
        <v>24</v>
      </c>
      <c r="G654" t="s">
        <v>25</v>
      </c>
      <c r="H654" t="s">
        <v>26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Q654">
        <v>55.9</v>
      </c>
    </row>
    <row r="655" spans="1:17">
      <c r="A655" t="s">
        <v>685</v>
      </c>
      <c r="B655">
        <f>COUNTIF($A$2:A655,A655)</f>
        <v>1</v>
      </c>
      <c r="C655" s="2">
        <v>45794</v>
      </c>
      <c r="D655" t="s">
        <v>17</v>
      </c>
      <c r="E655" t="s">
        <v>23</v>
      </c>
      <c r="F655" t="s">
        <v>24</v>
      </c>
      <c r="G655" t="s">
        <v>39</v>
      </c>
      <c r="H655" t="s">
        <v>30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Q655">
        <v>74.2</v>
      </c>
    </row>
    <row r="656" spans="1:17">
      <c r="A656" t="s">
        <v>686</v>
      </c>
      <c r="B656">
        <f>COUNTIF($A$2:A656,A656)</f>
        <v>1</v>
      </c>
      <c r="C656" s="2">
        <v>45669</v>
      </c>
      <c r="D656" t="s">
        <v>17</v>
      </c>
      <c r="E656" t="s">
        <v>23</v>
      </c>
      <c r="F656" t="s">
        <v>24</v>
      </c>
      <c r="G656" t="s">
        <v>25</v>
      </c>
      <c r="H656" t="s">
        <v>26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Q656">
        <v>46.3</v>
      </c>
    </row>
    <row r="657" spans="1:17">
      <c r="A657" t="s">
        <v>687</v>
      </c>
      <c r="B657">
        <f>COUNTIF($A$2:A657,A657)</f>
        <v>1</v>
      </c>
      <c r="C657" s="2">
        <v>45728</v>
      </c>
      <c r="D657" t="s">
        <v>17</v>
      </c>
      <c r="E657" t="s">
        <v>23</v>
      </c>
      <c r="F657" t="s">
        <v>24</v>
      </c>
      <c r="G657" t="s">
        <v>25</v>
      </c>
      <c r="H657" t="s">
        <v>30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Q657">
        <v>62</v>
      </c>
    </row>
    <row r="658" spans="1:17">
      <c r="A658" t="s">
        <v>688</v>
      </c>
      <c r="B658">
        <f>COUNTIF($A$2:A658,A658)</f>
        <v>1</v>
      </c>
      <c r="C658" s="2">
        <v>45749</v>
      </c>
      <c r="D658" t="s">
        <v>17</v>
      </c>
      <c r="E658" t="s">
        <v>32</v>
      </c>
      <c r="F658" t="s">
        <v>24</v>
      </c>
      <c r="G658" t="s">
        <v>25</v>
      </c>
      <c r="H658" t="s">
        <v>21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Q658">
        <v>55.6</v>
      </c>
    </row>
    <row r="659" spans="1:17">
      <c r="A659" t="s">
        <v>689</v>
      </c>
      <c r="B659">
        <f>COUNTIF($A$2:A659,A659)</f>
        <v>1</v>
      </c>
      <c r="C659" s="2">
        <v>45670</v>
      </c>
      <c r="D659" t="s">
        <v>17</v>
      </c>
      <c r="E659" t="s">
        <v>32</v>
      </c>
      <c r="F659" t="s">
        <v>24</v>
      </c>
      <c r="G659" t="s">
        <v>25</v>
      </c>
      <c r="H659" t="s">
        <v>21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Q659">
        <v>62.8</v>
      </c>
    </row>
    <row r="660" spans="1:17">
      <c r="A660" t="s">
        <v>690</v>
      </c>
      <c r="B660">
        <f>COUNTIF($A$2:A660,A660)</f>
        <v>1</v>
      </c>
      <c r="C660" s="2">
        <v>45723</v>
      </c>
      <c r="D660" t="s">
        <v>17</v>
      </c>
      <c r="E660" t="s">
        <v>28</v>
      </c>
      <c r="F660" t="s">
        <v>24</v>
      </c>
      <c r="G660" t="s">
        <v>39</v>
      </c>
      <c r="H660" t="s">
        <v>26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Q660">
        <v>73.099999999999994</v>
      </c>
    </row>
    <row r="661" spans="1:17">
      <c r="A661" t="s">
        <v>691</v>
      </c>
      <c r="B661">
        <f>COUNTIF($A$2:A661,A661)</f>
        <v>1</v>
      </c>
      <c r="C661" s="2">
        <v>45767</v>
      </c>
      <c r="D661" t="s">
        <v>17</v>
      </c>
      <c r="E661" t="s">
        <v>32</v>
      </c>
      <c r="F661" t="s">
        <v>19</v>
      </c>
      <c r="G661" t="s">
        <v>41</v>
      </c>
      <c r="H661" t="s">
        <v>26</v>
      </c>
      <c r="I661">
        <v>1</v>
      </c>
      <c r="J661">
        <v>1</v>
      </c>
      <c r="K661">
        <v>1</v>
      </c>
      <c r="L661">
        <v>1</v>
      </c>
      <c r="M661">
        <v>347.52</v>
      </c>
      <c r="N661">
        <v>0</v>
      </c>
      <c r="O661">
        <v>0</v>
      </c>
      <c r="P661">
        <v>2</v>
      </c>
      <c r="Q661">
        <v>57.2</v>
      </c>
    </row>
    <row r="662" spans="1:17">
      <c r="A662" t="s">
        <v>692</v>
      </c>
      <c r="B662">
        <f>COUNTIF($A$2:A662,A662)</f>
        <v>1</v>
      </c>
      <c r="C662" s="2">
        <v>45664</v>
      </c>
      <c r="D662" t="s">
        <v>17</v>
      </c>
      <c r="E662" t="s">
        <v>32</v>
      </c>
      <c r="F662" t="s">
        <v>24</v>
      </c>
      <c r="G662" t="s">
        <v>29</v>
      </c>
      <c r="H662" t="s">
        <v>26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Q662">
        <v>67.900000000000006</v>
      </c>
    </row>
    <row r="663" spans="1:17">
      <c r="A663" t="s">
        <v>693</v>
      </c>
      <c r="B663">
        <f>COUNTIF($A$2:A663,A663)</f>
        <v>1</v>
      </c>
      <c r="C663" s="2">
        <v>45770</v>
      </c>
      <c r="D663" t="s">
        <v>17</v>
      </c>
      <c r="E663" t="s">
        <v>32</v>
      </c>
      <c r="F663" t="s">
        <v>24</v>
      </c>
      <c r="G663" t="s">
        <v>39</v>
      </c>
      <c r="H663" t="s">
        <v>26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Q663">
        <v>50.1</v>
      </c>
    </row>
    <row r="664" spans="1:17">
      <c r="A664" t="s">
        <v>694</v>
      </c>
      <c r="B664">
        <f>COUNTIF($A$2:A664,A664)</f>
        <v>1</v>
      </c>
      <c r="C664" s="2">
        <v>45803</v>
      </c>
      <c r="D664" t="s">
        <v>17</v>
      </c>
      <c r="E664" t="s">
        <v>18</v>
      </c>
      <c r="F664" t="s">
        <v>24</v>
      </c>
      <c r="G664" t="s">
        <v>29</v>
      </c>
      <c r="H664" t="s">
        <v>21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Q664">
        <v>67.8</v>
      </c>
    </row>
    <row r="665" spans="1:17">
      <c r="A665" t="s">
        <v>695</v>
      </c>
      <c r="B665">
        <f>COUNTIF($A$2:A665,A665)</f>
        <v>1</v>
      </c>
      <c r="C665" s="2">
        <v>45733</v>
      </c>
      <c r="D665" t="s">
        <v>17</v>
      </c>
      <c r="E665" t="s">
        <v>18</v>
      </c>
      <c r="F665" t="s">
        <v>19</v>
      </c>
      <c r="G665" t="s">
        <v>41</v>
      </c>
      <c r="H665" t="s">
        <v>21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0</v>
      </c>
      <c r="O665">
        <v>0</v>
      </c>
      <c r="Q665">
        <v>60.8</v>
      </c>
    </row>
    <row r="666" spans="1:17">
      <c r="A666" t="s">
        <v>696</v>
      </c>
      <c r="B666">
        <f>COUNTIF($A$2:A666,A666)</f>
        <v>1</v>
      </c>
      <c r="C666" s="2">
        <v>45794</v>
      </c>
      <c r="D666" t="s">
        <v>17</v>
      </c>
      <c r="E666" t="s">
        <v>18</v>
      </c>
      <c r="F666" t="s">
        <v>19</v>
      </c>
      <c r="G666" t="s">
        <v>29</v>
      </c>
      <c r="H666" t="s">
        <v>21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3</v>
      </c>
      <c r="O666">
        <v>0</v>
      </c>
      <c r="Q666">
        <v>33.700000000000003</v>
      </c>
    </row>
    <row r="667" spans="1:17">
      <c r="A667" t="s">
        <v>697</v>
      </c>
      <c r="B667">
        <f>COUNTIF($A$2:A667,A667)</f>
        <v>1</v>
      </c>
      <c r="C667" s="2">
        <v>45709</v>
      </c>
      <c r="D667" t="s">
        <v>17</v>
      </c>
      <c r="E667" t="s">
        <v>18</v>
      </c>
      <c r="F667" t="s">
        <v>24</v>
      </c>
      <c r="G667" t="s">
        <v>29</v>
      </c>
      <c r="H667" t="s">
        <v>21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Q667">
        <v>45.2</v>
      </c>
    </row>
    <row r="668" spans="1:17">
      <c r="A668" t="s">
        <v>698</v>
      </c>
      <c r="B668">
        <f>COUNTIF($A$2:A668,A668)</f>
        <v>1</v>
      </c>
      <c r="C668" s="2">
        <v>45713</v>
      </c>
      <c r="D668" t="s">
        <v>17</v>
      </c>
      <c r="E668" t="s">
        <v>28</v>
      </c>
      <c r="F668" t="s">
        <v>19</v>
      </c>
      <c r="G668" t="s">
        <v>29</v>
      </c>
      <c r="H668" t="s">
        <v>30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Q668">
        <v>48.2</v>
      </c>
    </row>
    <row r="669" spans="1:17">
      <c r="A669" t="s">
        <v>699</v>
      </c>
      <c r="B669">
        <f>COUNTIF($A$2:A669,A669)</f>
        <v>1</v>
      </c>
      <c r="C669" s="2">
        <v>45687</v>
      </c>
      <c r="D669" t="s">
        <v>17</v>
      </c>
      <c r="E669" t="s">
        <v>32</v>
      </c>
      <c r="F669" t="s">
        <v>24</v>
      </c>
      <c r="G669" t="s">
        <v>41</v>
      </c>
      <c r="H669" t="s">
        <v>26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0</v>
      </c>
      <c r="Q669">
        <v>44.8</v>
      </c>
    </row>
    <row r="670" spans="1:17">
      <c r="A670" t="s">
        <v>700</v>
      </c>
      <c r="B670">
        <f>COUNTIF($A$2:A670,A670)</f>
        <v>1</v>
      </c>
      <c r="C670" s="2">
        <v>45705</v>
      </c>
      <c r="D670" t="s">
        <v>17</v>
      </c>
      <c r="E670" t="s">
        <v>18</v>
      </c>
      <c r="F670" t="s">
        <v>34</v>
      </c>
      <c r="G670" t="s">
        <v>41</v>
      </c>
      <c r="H670" t="s">
        <v>21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Q670">
        <v>52.1</v>
      </c>
    </row>
    <row r="671" spans="1:17">
      <c r="A671" t="s">
        <v>701</v>
      </c>
      <c r="B671">
        <f>COUNTIF($A$2:A671,A671)</f>
        <v>1</v>
      </c>
      <c r="C671" s="2">
        <v>45794</v>
      </c>
      <c r="D671" t="s">
        <v>17</v>
      </c>
      <c r="E671" t="s">
        <v>18</v>
      </c>
      <c r="F671" t="s">
        <v>19</v>
      </c>
      <c r="G671" t="s">
        <v>29</v>
      </c>
      <c r="H671" t="s">
        <v>21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Q671">
        <v>30.7</v>
      </c>
    </row>
    <row r="672" spans="1:17">
      <c r="A672" t="s">
        <v>702</v>
      </c>
      <c r="B672">
        <f>COUNTIF($A$2:A672,A672)</f>
        <v>1</v>
      </c>
      <c r="C672" s="2">
        <v>45777</v>
      </c>
      <c r="D672" t="s">
        <v>17</v>
      </c>
      <c r="E672" t="s">
        <v>28</v>
      </c>
      <c r="F672" t="s">
        <v>19</v>
      </c>
      <c r="G672" t="s">
        <v>29</v>
      </c>
      <c r="H672" t="s">
        <v>26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Q672">
        <v>58.4</v>
      </c>
    </row>
    <row r="673" spans="1:17">
      <c r="A673" t="s">
        <v>703</v>
      </c>
      <c r="B673">
        <f>COUNTIF($A$2:A673,A673)</f>
        <v>1</v>
      </c>
      <c r="C673" s="2">
        <v>45738</v>
      </c>
      <c r="D673" t="s">
        <v>17</v>
      </c>
      <c r="E673" t="s">
        <v>23</v>
      </c>
      <c r="F673" t="s">
        <v>24</v>
      </c>
      <c r="G673" t="s">
        <v>39</v>
      </c>
      <c r="H673" t="s">
        <v>26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Q673">
        <v>52.6</v>
      </c>
    </row>
    <row r="674" spans="1:17">
      <c r="A674" t="s">
        <v>704</v>
      </c>
      <c r="B674">
        <f>COUNTIF($A$2:A674,A674)</f>
        <v>1</v>
      </c>
      <c r="C674" s="2">
        <v>45667</v>
      </c>
      <c r="D674" t="s">
        <v>17</v>
      </c>
      <c r="E674" t="s">
        <v>23</v>
      </c>
      <c r="G674" t="s">
        <v>29</v>
      </c>
      <c r="H674" t="s">
        <v>26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Q674">
        <v>19.100000000000001</v>
      </c>
    </row>
    <row r="675" spans="1:17">
      <c r="A675" t="s">
        <v>705</v>
      </c>
      <c r="B675">
        <f>COUNTIF($A$2:A675,A675)</f>
        <v>1</v>
      </c>
      <c r="C675" s="2">
        <v>45737</v>
      </c>
      <c r="D675" t="s">
        <v>17</v>
      </c>
      <c r="E675" t="s">
        <v>32</v>
      </c>
      <c r="G675" t="s">
        <v>29</v>
      </c>
      <c r="H675" t="s">
        <v>26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Q675">
        <v>36.799999999999997</v>
      </c>
    </row>
    <row r="676" spans="1:17">
      <c r="A676" t="s">
        <v>706</v>
      </c>
      <c r="B676">
        <f>COUNTIF($A$2:A676,A676)</f>
        <v>1</v>
      </c>
      <c r="C676" s="2">
        <v>45789</v>
      </c>
      <c r="D676" t="s">
        <v>17</v>
      </c>
      <c r="E676" t="s">
        <v>18</v>
      </c>
      <c r="F676" t="s">
        <v>19</v>
      </c>
      <c r="G676" t="s">
        <v>29</v>
      </c>
      <c r="H676" t="s">
        <v>21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Q676">
        <v>68.5</v>
      </c>
    </row>
    <row r="677" spans="1:17">
      <c r="A677" t="s">
        <v>707</v>
      </c>
      <c r="B677">
        <f>COUNTIF($A$2:A677,A677)</f>
        <v>1</v>
      </c>
      <c r="C677" s="2">
        <v>45801</v>
      </c>
      <c r="D677" t="s">
        <v>17</v>
      </c>
      <c r="E677" t="s">
        <v>23</v>
      </c>
      <c r="F677" t="s">
        <v>24</v>
      </c>
      <c r="G677" t="s">
        <v>29</v>
      </c>
      <c r="H677" t="s">
        <v>26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Q677">
        <v>40.1</v>
      </c>
    </row>
    <row r="678" spans="1:17">
      <c r="A678" t="s">
        <v>708</v>
      </c>
      <c r="B678">
        <f>COUNTIF($A$2:A678,A678)</f>
        <v>1</v>
      </c>
      <c r="C678" s="2">
        <v>45780</v>
      </c>
      <c r="D678" t="s">
        <v>17</v>
      </c>
      <c r="E678" t="s">
        <v>23</v>
      </c>
      <c r="F678" t="s">
        <v>34</v>
      </c>
      <c r="G678" t="s">
        <v>25</v>
      </c>
      <c r="H678" t="s">
        <v>26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Q678">
        <v>47.5</v>
      </c>
    </row>
    <row r="679" spans="1:17">
      <c r="A679" t="s">
        <v>709</v>
      </c>
      <c r="B679">
        <f>COUNTIF($A$2:A679,A679)</f>
        <v>1</v>
      </c>
      <c r="C679" s="2">
        <v>45671</v>
      </c>
      <c r="D679" t="s">
        <v>17</v>
      </c>
      <c r="E679" t="s">
        <v>32</v>
      </c>
      <c r="F679" t="s">
        <v>24</v>
      </c>
      <c r="G679" t="s">
        <v>25</v>
      </c>
      <c r="H679" t="s">
        <v>21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Q679">
        <v>77.099999999999994</v>
      </c>
    </row>
    <row r="680" spans="1:17">
      <c r="A680" t="s">
        <v>710</v>
      </c>
      <c r="B680">
        <f>COUNTIF($A$2:A680,A680)</f>
        <v>1</v>
      </c>
      <c r="C680" s="2">
        <v>45743</v>
      </c>
      <c r="D680" t="s">
        <v>17</v>
      </c>
      <c r="E680" t="s">
        <v>23</v>
      </c>
      <c r="F680" t="s">
        <v>24</v>
      </c>
      <c r="G680" t="s">
        <v>41</v>
      </c>
      <c r="H680" t="s">
        <v>21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Q680">
        <v>75.900000000000006</v>
      </c>
    </row>
    <row r="681" spans="1:17">
      <c r="A681" t="s">
        <v>711</v>
      </c>
      <c r="B681">
        <f>COUNTIF($A$2:A681,A681)</f>
        <v>1</v>
      </c>
      <c r="C681" s="2">
        <v>45716</v>
      </c>
      <c r="D681" t="s">
        <v>17</v>
      </c>
      <c r="E681" t="s">
        <v>18</v>
      </c>
      <c r="F681" t="s">
        <v>19</v>
      </c>
      <c r="G681" t="s">
        <v>39</v>
      </c>
      <c r="H681" t="s">
        <v>30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Q681">
        <v>52</v>
      </c>
    </row>
    <row r="682" spans="1:17">
      <c r="A682" t="s">
        <v>712</v>
      </c>
      <c r="B682">
        <f>COUNTIF($A$2:A682,A682)</f>
        <v>1</v>
      </c>
      <c r="C682" s="2">
        <v>45789</v>
      </c>
      <c r="D682" t="s">
        <v>17</v>
      </c>
      <c r="E682" t="s">
        <v>23</v>
      </c>
      <c r="F682" t="s">
        <v>19</v>
      </c>
      <c r="G682" t="s">
        <v>39</v>
      </c>
      <c r="H682" t="s">
        <v>30</v>
      </c>
      <c r="I682">
        <v>1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0</v>
      </c>
      <c r="Q682">
        <v>64.900000000000006</v>
      </c>
    </row>
    <row r="683" spans="1:17">
      <c r="A683" t="s">
        <v>713</v>
      </c>
      <c r="B683">
        <f>COUNTIF($A$2:A683,A683)</f>
        <v>1</v>
      </c>
      <c r="C683" s="2">
        <v>45730</v>
      </c>
      <c r="D683" t="s">
        <v>17</v>
      </c>
      <c r="E683" t="s">
        <v>18</v>
      </c>
      <c r="F683" t="s">
        <v>24</v>
      </c>
      <c r="G683" t="s">
        <v>25</v>
      </c>
      <c r="H683" t="s">
        <v>26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Q683">
        <v>48.2</v>
      </c>
    </row>
    <row r="684" spans="1:17">
      <c r="A684" t="s">
        <v>714</v>
      </c>
      <c r="B684">
        <f>COUNTIF($A$2:A684,A684)</f>
        <v>1</v>
      </c>
      <c r="C684" s="2">
        <v>45797</v>
      </c>
      <c r="D684" t="s">
        <v>17</v>
      </c>
      <c r="E684" t="s">
        <v>28</v>
      </c>
      <c r="F684" t="s">
        <v>24</v>
      </c>
      <c r="G684" t="s">
        <v>25</v>
      </c>
      <c r="H684" t="s">
        <v>21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Q684">
        <v>42.1</v>
      </c>
    </row>
    <row r="685" spans="1:17">
      <c r="A685" t="s">
        <v>715</v>
      </c>
      <c r="B685">
        <f>COUNTIF($A$2:A685,A685)</f>
        <v>1</v>
      </c>
      <c r="C685" s="2">
        <v>45712</v>
      </c>
      <c r="D685" t="s">
        <v>17</v>
      </c>
      <c r="E685" t="s">
        <v>32</v>
      </c>
      <c r="F685" t="s">
        <v>19</v>
      </c>
      <c r="G685" t="s">
        <v>39</v>
      </c>
      <c r="H685" t="s">
        <v>26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Q685">
        <v>27.6</v>
      </c>
    </row>
    <row r="686" spans="1:17">
      <c r="A686" t="s">
        <v>716</v>
      </c>
      <c r="B686">
        <f>COUNTIF($A$2:A686,A686)</f>
        <v>1</v>
      </c>
      <c r="C686" s="2">
        <v>45701</v>
      </c>
      <c r="D686" t="s">
        <v>17</v>
      </c>
      <c r="E686" t="s">
        <v>23</v>
      </c>
      <c r="F686" t="s">
        <v>24</v>
      </c>
      <c r="G686" t="s">
        <v>25</v>
      </c>
      <c r="H686" t="s">
        <v>30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Q686">
        <v>68.5</v>
      </c>
    </row>
    <row r="687" spans="1:17">
      <c r="A687" t="s">
        <v>717</v>
      </c>
      <c r="B687">
        <f>COUNTIF($A$2:A687,A687)</f>
        <v>1</v>
      </c>
      <c r="C687" s="2">
        <v>45694</v>
      </c>
      <c r="D687" t="s">
        <v>17</v>
      </c>
      <c r="E687" t="s">
        <v>32</v>
      </c>
      <c r="F687" t="s">
        <v>19</v>
      </c>
      <c r="G687" t="s">
        <v>25</v>
      </c>
      <c r="H687" t="s">
        <v>26</v>
      </c>
      <c r="I687">
        <v>1</v>
      </c>
      <c r="J687">
        <v>1</v>
      </c>
      <c r="K687">
        <v>1</v>
      </c>
      <c r="L687">
        <v>0</v>
      </c>
      <c r="M687">
        <v>0</v>
      </c>
      <c r="N687">
        <v>0</v>
      </c>
      <c r="O687">
        <v>0</v>
      </c>
      <c r="Q687">
        <v>59.2</v>
      </c>
    </row>
    <row r="688" spans="1:17">
      <c r="A688" t="s">
        <v>718</v>
      </c>
      <c r="B688">
        <f>COUNTIF($A$2:A688,A688)</f>
        <v>1</v>
      </c>
      <c r="C688" s="2">
        <v>45718</v>
      </c>
      <c r="D688" t="s">
        <v>17</v>
      </c>
      <c r="E688" t="s">
        <v>18</v>
      </c>
      <c r="F688" t="s">
        <v>24</v>
      </c>
      <c r="G688" t="s">
        <v>41</v>
      </c>
      <c r="H688" t="s">
        <v>21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Q688">
        <v>63.3</v>
      </c>
    </row>
    <row r="689" spans="1:17">
      <c r="A689" t="s">
        <v>719</v>
      </c>
      <c r="B689">
        <f>COUNTIF($A$2:A689,A689)</f>
        <v>1</v>
      </c>
      <c r="C689" s="2">
        <v>45775</v>
      </c>
      <c r="D689" t="s">
        <v>17</v>
      </c>
      <c r="E689" t="s">
        <v>28</v>
      </c>
      <c r="F689" t="s">
        <v>19</v>
      </c>
      <c r="G689" t="s">
        <v>29</v>
      </c>
      <c r="H689" t="s">
        <v>26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Q689">
        <v>55</v>
      </c>
    </row>
    <row r="690" spans="1:17">
      <c r="A690" t="s">
        <v>720</v>
      </c>
      <c r="B690">
        <f>COUNTIF($A$2:A690,A690)</f>
        <v>1</v>
      </c>
      <c r="C690" s="2">
        <v>45804</v>
      </c>
      <c r="D690" t="s">
        <v>17</v>
      </c>
      <c r="E690" t="s">
        <v>18</v>
      </c>
      <c r="F690" t="s">
        <v>19</v>
      </c>
      <c r="H690" t="s">
        <v>30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Q690">
        <v>64.8</v>
      </c>
    </row>
    <row r="691" spans="1:17">
      <c r="A691" t="s">
        <v>721</v>
      </c>
      <c r="B691">
        <f>COUNTIF($A$2:A691,A691)</f>
        <v>1</v>
      </c>
      <c r="C691" s="2">
        <v>45754</v>
      </c>
      <c r="D691" t="s">
        <v>17</v>
      </c>
      <c r="E691" t="s">
        <v>32</v>
      </c>
      <c r="F691" t="s">
        <v>19</v>
      </c>
      <c r="G691" t="s">
        <v>25</v>
      </c>
      <c r="H691" t="s">
        <v>21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0</v>
      </c>
      <c r="Q691">
        <v>41.8</v>
      </c>
    </row>
    <row r="692" spans="1:17">
      <c r="A692" t="s">
        <v>722</v>
      </c>
      <c r="B692">
        <f>COUNTIF($A$2:A692,A692)</f>
        <v>1</v>
      </c>
      <c r="C692" s="2">
        <v>45761</v>
      </c>
      <c r="D692" t="s">
        <v>723</v>
      </c>
      <c r="E692" t="s">
        <v>28</v>
      </c>
      <c r="F692" t="s">
        <v>19</v>
      </c>
      <c r="G692" t="s">
        <v>41</v>
      </c>
      <c r="H692" t="s">
        <v>21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Q692">
        <v>73.2</v>
      </c>
    </row>
    <row r="693" spans="1:17">
      <c r="A693" t="s">
        <v>724</v>
      </c>
      <c r="B693">
        <f>COUNTIF($A$2:A693,A693)</f>
        <v>1</v>
      </c>
      <c r="C693" s="2">
        <v>45786</v>
      </c>
      <c r="D693" t="s">
        <v>723</v>
      </c>
      <c r="E693" t="s">
        <v>28</v>
      </c>
      <c r="F693" t="s">
        <v>19</v>
      </c>
      <c r="G693" t="s">
        <v>25</v>
      </c>
      <c r="H693" t="s">
        <v>21</v>
      </c>
      <c r="I693">
        <v>1</v>
      </c>
      <c r="J693">
        <v>1</v>
      </c>
      <c r="K693">
        <v>1</v>
      </c>
      <c r="L693">
        <v>0</v>
      </c>
      <c r="M693">
        <v>0</v>
      </c>
      <c r="N693">
        <v>3</v>
      </c>
      <c r="O693">
        <v>0</v>
      </c>
      <c r="Q693">
        <v>55.7</v>
      </c>
    </row>
    <row r="694" spans="1:17">
      <c r="A694" t="s">
        <v>725</v>
      </c>
      <c r="B694">
        <f>COUNTIF($A$2:A694,A694)</f>
        <v>1</v>
      </c>
      <c r="C694" s="2">
        <v>45737</v>
      </c>
      <c r="D694" t="s">
        <v>723</v>
      </c>
      <c r="E694" t="s">
        <v>18</v>
      </c>
      <c r="F694" t="s">
        <v>24</v>
      </c>
      <c r="G694" t="s">
        <v>25</v>
      </c>
      <c r="H694" t="s">
        <v>26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0</v>
      </c>
      <c r="Q694">
        <v>82.8</v>
      </c>
    </row>
    <row r="695" spans="1:17">
      <c r="A695" t="s">
        <v>726</v>
      </c>
      <c r="B695">
        <f>COUNTIF($A$2:A695,A695)</f>
        <v>1</v>
      </c>
      <c r="C695" s="2">
        <v>45743</v>
      </c>
      <c r="D695" t="s">
        <v>723</v>
      </c>
      <c r="E695" t="s">
        <v>18</v>
      </c>
      <c r="F695" t="s">
        <v>19</v>
      </c>
      <c r="G695" t="s">
        <v>41</v>
      </c>
      <c r="H695" t="s">
        <v>26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7">
      <c r="A696" t="s">
        <v>727</v>
      </c>
      <c r="B696">
        <f>COUNTIF($A$2:A696,A696)</f>
        <v>1</v>
      </c>
      <c r="C696" s="2">
        <v>45678</v>
      </c>
      <c r="D696" t="s">
        <v>723</v>
      </c>
      <c r="E696" t="s">
        <v>32</v>
      </c>
      <c r="F696" t="s">
        <v>24</v>
      </c>
      <c r="G696" t="s">
        <v>29</v>
      </c>
      <c r="H696" t="s">
        <v>26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Q696">
        <v>34.4</v>
      </c>
    </row>
    <row r="697" spans="1:17">
      <c r="A697" t="s">
        <v>728</v>
      </c>
      <c r="B697">
        <f>COUNTIF($A$2:A697,A697)</f>
        <v>1</v>
      </c>
      <c r="C697" s="2">
        <v>45735</v>
      </c>
      <c r="D697" t="s">
        <v>723</v>
      </c>
      <c r="E697" t="s">
        <v>28</v>
      </c>
      <c r="F697" t="s">
        <v>19</v>
      </c>
      <c r="G697" t="s">
        <v>20</v>
      </c>
      <c r="H697" t="s">
        <v>26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Q697">
        <v>45.2</v>
      </c>
    </row>
    <row r="698" spans="1:17">
      <c r="A698" t="s">
        <v>729</v>
      </c>
      <c r="B698">
        <f>COUNTIF($A$2:A698,A698)</f>
        <v>1</v>
      </c>
      <c r="C698" s="2">
        <v>45804</v>
      </c>
      <c r="D698" t="s">
        <v>723</v>
      </c>
      <c r="E698" t="s">
        <v>18</v>
      </c>
      <c r="F698" t="s">
        <v>24</v>
      </c>
      <c r="G698" t="s">
        <v>25</v>
      </c>
      <c r="H698" t="s">
        <v>21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Q698">
        <v>71.599999999999994</v>
      </c>
    </row>
    <row r="699" spans="1:17">
      <c r="A699" t="s">
        <v>730</v>
      </c>
      <c r="B699">
        <f>COUNTIF($A$2:A699,A699)</f>
        <v>1</v>
      </c>
      <c r="C699" s="2">
        <v>45658</v>
      </c>
      <c r="D699" t="s">
        <v>723</v>
      </c>
      <c r="E699" t="s">
        <v>18</v>
      </c>
      <c r="F699" t="s">
        <v>24</v>
      </c>
      <c r="G699" t="s">
        <v>41</v>
      </c>
      <c r="H699" t="s">
        <v>26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Q699">
        <v>69.099999999999994</v>
      </c>
    </row>
    <row r="700" spans="1:17">
      <c r="A700" t="s">
        <v>731</v>
      </c>
      <c r="B700">
        <f>COUNTIF($A$2:A700,A700)</f>
        <v>1</v>
      </c>
      <c r="C700" s="2">
        <v>45745</v>
      </c>
      <c r="D700" t="s">
        <v>723</v>
      </c>
      <c r="E700" t="s">
        <v>23</v>
      </c>
      <c r="F700" t="s">
        <v>19</v>
      </c>
      <c r="G700" t="s">
        <v>29</v>
      </c>
      <c r="H700" t="s">
        <v>30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Q700">
        <v>37.700000000000003</v>
      </c>
    </row>
    <row r="701" spans="1:17">
      <c r="A701" t="s">
        <v>732</v>
      </c>
      <c r="B701">
        <f>COUNTIF($A$2:A701,A701)</f>
        <v>1</v>
      </c>
      <c r="C701" s="2">
        <v>45733</v>
      </c>
      <c r="D701" t="s">
        <v>723</v>
      </c>
      <c r="E701" t="s">
        <v>23</v>
      </c>
      <c r="F701" t="s">
        <v>19</v>
      </c>
      <c r="G701" t="s">
        <v>25</v>
      </c>
      <c r="H701" t="s">
        <v>21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Q701">
        <v>60.8</v>
      </c>
    </row>
    <row r="702" spans="1:17">
      <c r="A702" t="s">
        <v>733</v>
      </c>
      <c r="B702">
        <f>COUNTIF($A$2:A702,A702)</f>
        <v>1</v>
      </c>
      <c r="C702" s="2">
        <v>45782</v>
      </c>
      <c r="D702" t="s">
        <v>723</v>
      </c>
      <c r="E702" t="s">
        <v>18</v>
      </c>
      <c r="F702" t="s">
        <v>24</v>
      </c>
      <c r="G702" t="s">
        <v>25</v>
      </c>
      <c r="H702" t="s">
        <v>26</v>
      </c>
      <c r="I702">
        <v>1</v>
      </c>
      <c r="J702">
        <v>1</v>
      </c>
      <c r="K702">
        <v>1</v>
      </c>
      <c r="L702">
        <v>1</v>
      </c>
      <c r="M702">
        <v>444.13</v>
      </c>
      <c r="N702">
        <v>0</v>
      </c>
      <c r="O702">
        <v>0</v>
      </c>
      <c r="P702">
        <v>10</v>
      </c>
      <c r="Q702">
        <v>80.7</v>
      </c>
    </row>
    <row r="703" spans="1:17">
      <c r="A703" t="s">
        <v>734</v>
      </c>
      <c r="B703">
        <f>COUNTIF($A$2:A703,A703)</f>
        <v>1</v>
      </c>
      <c r="C703" s="2">
        <v>45781</v>
      </c>
      <c r="D703" t="s">
        <v>723</v>
      </c>
      <c r="E703" t="s">
        <v>32</v>
      </c>
      <c r="F703" t="s">
        <v>24</v>
      </c>
      <c r="G703" t="s">
        <v>41</v>
      </c>
      <c r="H703" t="s">
        <v>26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Q703">
        <v>69.2</v>
      </c>
    </row>
    <row r="704" spans="1:17">
      <c r="A704" t="s">
        <v>735</v>
      </c>
      <c r="B704">
        <f>COUNTIF($A$2:A704,A704)</f>
        <v>1</v>
      </c>
      <c r="C704" s="2">
        <v>45741</v>
      </c>
      <c r="D704" t="s">
        <v>723</v>
      </c>
      <c r="E704" t="s">
        <v>18</v>
      </c>
      <c r="F704" t="s">
        <v>24</v>
      </c>
      <c r="G704" t="s">
        <v>41</v>
      </c>
      <c r="H704" t="s">
        <v>30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3</v>
      </c>
      <c r="O704">
        <v>0</v>
      </c>
      <c r="Q704">
        <v>55</v>
      </c>
    </row>
    <row r="705" spans="1:17">
      <c r="A705" t="s">
        <v>736</v>
      </c>
      <c r="B705">
        <f>COUNTIF($A$2:A705,A705)</f>
        <v>1</v>
      </c>
      <c r="C705" s="2">
        <v>45764</v>
      </c>
      <c r="D705" t="s">
        <v>723</v>
      </c>
      <c r="E705" t="s">
        <v>23</v>
      </c>
      <c r="F705" t="s">
        <v>24</v>
      </c>
      <c r="G705" t="s">
        <v>20</v>
      </c>
      <c r="H705" t="s">
        <v>26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Q705">
        <v>73.599999999999994</v>
      </c>
    </row>
    <row r="706" spans="1:17">
      <c r="A706" t="s">
        <v>737</v>
      </c>
      <c r="B706">
        <f>COUNTIF($A$2:A706,A706)</f>
        <v>1</v>
      </c>
      <c r="C706" s="2">
        <v>45800</v>
      </c>
      <c r="D706" t="s">
        <v>723</v>
      </c>
      <c r="E706" t="s">
        <v>32</v>
      </c>
      <c r="F706" t="s">
        <v>24</v>
      </c>
      <c r="G706" t="s">
        <v>39</v>
      </c>
      <c r="H706" t="s">
        <v>21</v>
      </c>
      <c r="I706">
        <v>1</v>
      </c>
      <c r="J706">
        <v>1</v>
      </c>
      <c r="K706">
        <v>1</v>
      </c>
      <c r="L706">
        <v>0</v>
      </c>
      <c r="M706">
        <v>0</v>
      </c>
      <c r="N706">
        <v>1</v>
      </c>
      <c r="O706">
        <v>0</v>
      </c>
      <c r="Q706">
        <v>47.3</v>
      </c>
    </row>
    <row r="707" spans="1:17">
      <c r="A707" t="s">
        <v>738</v>
      </c>
      <c r="B707">
        <f>COUNTIF($A$2:A707,A707)</f>
        <v>1</v>
      </c>
      <c r="C707" s="2">
        <v>45670</v>
      </c>
      <c r="D707" t="s">
        <v>723</v>
      </c>
      <c r="E707" t="s">
        <v>18</v>
      </c>
      <c r="F707" t="s">
        <v>24</v>
      </c>
      <c r="G707" t="s">
        <v>25</v>
      </c>
      <c r="H707" t="s">
        <v>21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Q707">
        <v>43.6</v>
      </c>
    </row>
    <row r="708" spans="1:17">
      <c r="A708" t="s">
        <v>739</v>
      </c>
      <c r="B708">
        <f>COUNTIF($A$2:A708,A708)</f>
        <v>1</v>
      </c>
      <c r="C708" s="2">
        <v>45686</v>
      </c>
      <c r="D708" t="s">
        <v>723</v>
      </c>
      <c r="E708" t="s">
        <v>18</v>
      </c>
      <c r="F708" t="s">
        <v>19</v>
      </c>
      <c r="G708" t="s">
        <v>25</v>
      </c>
      <c r="H708" t="s">
        <v>21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7">
      <c r="A709" t="s">
        <v>740</v>
      </c>
      <c r="B709">
        <f>COUNTIF($A$2:A709,A709)</f>
        <v>1</v>
      </c>
      <c r="C709" s="2">
        <v>45788</v>
      </c>
      <c r="D709" t="s">
        <v>723</v>
      </c>
      <c r="E709" t="s">
        <v>32</v>
      </c>
      <c r="F709" t="s">
        <v>24</v>
      </c>
      <c r="G709" t="s">
        <v>20</v>
      </c>
      <c r="H709" t="s">
        <v>26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Q709">
        <v>55.2</v>
      </c>
    </row>
    <row r="710" spans="1:17">
      <c r="A710" t="s">
        <v>741</v>
      </c>
      <c r="B710">
        <f>COUNTIF($A$2:A710,A710)</f>
        <v>1</v>
      </c>
      <c r="C710" s="2">
        <v>45769</v>
      </c>
      <c r="D710" t="s">
        <v>723</v>
      </c>
      <c r="E710" t="s">
        <v>32</v>
      </c>
      <c r="F710" t="s">
        <v>24</v>
      </c>
      <c r="G710" t="s">
        <v>25</v>
      </c>
      <c r="H710" t="s">
        <v>21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Q710">
        <v>49.4</v>
      </c>
    </row>
    <row r="711" spans="1:17">
      <c r="A711" t="s">
        <v>742</v>
      </c>
      <c r="B711">
        <f>COUNTIF($A$2:A711,A711)</f>
        <v>1</v>
      </c>
      <c r="C711" s="2">
        <v>45719</v>
      </c>
      <c r="D711" t="s">
        <v>723</v>
      </c>
      <c r="E711" t="s">
        <v>32</v>
      </c>
      <c r="F711" t="s">
        <v>24</v>
      </c>
      <c r="G711" t="s">
        <v>41</v>
      </c>
      <c r="H711" t="s">
        <v>26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0</v>
      </c>
      <c r="Q711">
        <v>60.1</v>
      </c>
    </row>
    <row r="712" spans="1:17">
      <c r="A712" t="s">
        <v>743</v>
      </c>
      <c r="B712">
        <f>COUNTIF($A$2:A712,A712)</f>
        <v>1</v>
      </c>
      <c r="C712" s="2">
        <v>45734</v>
      </c>
      <c r="D712" t="s">
        <v>723</v>
      </c>
      <c r="E712" t="s">
        <v>18</v>
      </c>
      <c r="F712" t="s">
        <v>24</v>
      </c>
      <c r="G712" t="s">
        <v>39</v>
      </c>
      <c r="H712" t="s">
        <v>26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>
        <v>55.9</v>
      </c>
    </row>
    <row r="713" spans="1:17">
      <c r="A713" t="s">
        <v>744</v>
      </c>
      <c r="B713">
        <f>COUNTIF($A$2:A713,A713)</f>
        <v>1</v>
      </c>
      <c r="C713" s="2">
        <v>45752</v>
      </c>
      <c r="D713" t="s">
        <v>723</v>
      </c>
      <c r="E713" t="s">
        <v>18</v>
      </c>
      <c r="F713" t="s">
        <v>24</v>
      </c>
      <c r="G713" t="s">
        <v>25</v>
      </c>
      <c r="H713" t="s">
        <v>21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Q713">
        <v>51.5</v>
      </c>
    </row>
    <row r="714" spans="1:17">
      <c r="A714" t="s">
        <v>745</v>
      </c>
      <c r="B714">
        <f>COUNTIF($A$2:A714,A714)</f>
        <v>1</v>
      </c>
      <c r="C714" s="2">
        <v>45763</v>
      </c>
      <c r="D714" t="s">
        <v>723</v>
      </c>
      <c r="E714" t="s">
        <v>28</v>
      </c>
      <c r="F714" t="s">
        <v>24</v>
      </c>
      <c r="G714" t="s">
        <v>25</v>
      </c>
      <c r="H714" t="s">
        <v>26</v>
      </c>
      <c r="I714">
        <v>1</v>
      </c>
      <c r="J714">
        <v>1</v>
      </c>
      <c r="K714">
        <v>1</v>
      </c>
      <c r="L714">
        <v>1</v>
      </c>
      <c r="M714">
        <v>516.66999999999996</v>
      </c>
      <c r="N714">
        <v>0</v>
      </c>
      <c r="O714">
        <v>0</v>
      </c>
      <c r="P714">
        <v>11</v>
      </c>
      <c r="Q714">
        <v>57.9</v>
      </c>
    </row>
    <row r="715" spans="1:17">
      <c r="A715" t="s">
        <v>746</v>
      </c>
      <c r="B715">
        <f>COUNTIF($A$2:A715,A715)</f>
        <v>1</v>
      </c>
      <c r="C715" s="2">
        <v>45767</v>
      </c>
      <c r="D715" t="s">
        <v>723</v>
      </c>
      <c r="E715" t="s">
        <v>32</v>
      </c>
      <c r="F715" t="s">
        <v>24</v>
      </c>
      <c r="G715" t="s">
        <v>39</v>
      </c>
      <c r="H715" t="s">
        <v>26</v>
      </c>
      <c r="I715">
        <v>1</v>
      </c>
      <c r="J715">
        <v>1</v>
      </c>
      <c r="K715">
        <v>1</v>
      </c>
      <c r="L715">
        <v>1</v>
      </c>
      <c r="M715">
        <v>277.18</v>
      </c>
      <c r="N715">
        <v>2</v>
      </c>
      <c r="O715">
        <v>0</v>
      </c>
      <c r="P715">
        <v>8</v>
      </c>
      <c r="Q715">
        <v>59.2</v>
      </c>
    </row>
    <row r="716" spans="1:17">
      <c r="A716" t="s">
        <v>747</v>
      </c>
      <c r="B716">
        <f>COUNTIF($A$2:A716,A716)</f>
        <v>1</v>
      </c>
      <c r="C716" s="2">
        <v>45703</v>
      </c>
      <c r="D716" t="s">
        <v>723</v>
      </c>
      <c r="E716" t="s">
        <v>32</v>
      </c>
      <c r="F716" t="s">
        <v>24</v>
      </c>
      <c r="G716" t="s">
        <v>25</v>
      </c>
      <c r="H716" t="s">
        <v>26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Q716">
        <v>64.2</v>
      </c>
    </row>
    <row r="717" spans="1:17">
      <c r="A717" t="s">
        <v>748</v>
      </c>
      <c r="B717">
        <f>COUNTIF($A$2:A717,A717)</f>
        <v>1</v>
      </c>
      <c r="C717" s="2">
        <v>45678</v>
      </c>
      <c r="D717" t="s">
        <v>723</v>
      </c>
      <c r="E717" t="s">
        <v>32</v>
      </c>
      <c r="F717" t="s">
        <v>24</v>
      </c>
      <c r="G717" t="s">
        <v>25</v>
      </c>
      <c r="H717" t="s">
        <v>26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Q717">
        <v>68.8</v>
      </c>
    </row>
    <row r="718" spans="1:17">
      <c r="A718" t="s">
        <v>749</v>
      </c>
      <c r="B718">
        <f>COUNTIF($A$2:A718,A718)</f>
        <v>1</v>
      </c>
      <c r="C718" s="2">
        <v>45800</v>
      </c>
      <c r="D718" t="s">
        <v>723</v>
      </c>
      <c r="E718" t="s">
        <v>18</v>
      </c>
      <c r="F718" t="s">
        <v>24</v>
      </c>
      <c r="G718" t="s">
        <v>29</v>
      </c>
      <c r="H718" t="s">
        <v>30</v>
      </c>
      <c r="I718">
        <v>1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0</v>
      </c>
      <c r="Q718">
        <v>77.900000000000006</v>
      </c>
    </row>
    <row r="719" spans="1:17">
      <c r="A719" t="s">
        <v>750</v>
      </c>
      <c r="B719">
        <f>COUNTIF($A$2:A719,A719)</f>
        <v>1</v>
      </c>
      <c r="C719" s="2">
        <v>45679</v>
      </c>
      <c r="D719" t="s">
        <v>723</v>
      </c>
      <c r="E719" t="s">
        <v>23</v>
      </c>
      <c r="F719" t="s">
        <v>24</v>
      </c>
      <c r="G719" t="s">
        <v>29</v>
      </c>
      <c r="H719" t="s">
        <v>21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Q719">
        <v>92.1</v>
      </c>
    </row>
    <row r="720" spans="1:17">
      <c r="A720" t="s">
        <v>751</v>
      </c>
      <c r="B720">
        <f>COUNTIF($A$2:A720,A720)</f>
        <v>1</v>
      </c>
      <c r="C720" s="2">
        <v>45771</v>
      </c>
      <c r="D720" t="s">
        <v>723</v>
      </c>
      <c r="E720" t="s">
        <v>23</v>
      </c>
      <c r="F720" t="s">
        <v>24</v>
      </c>
      <c r="G720" t="s">
        <v>29</v>
      </c>
      <c r="H720" t="s">
        <v>30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Q720">
        <v>63.6</v>
      </c>
    </row>
    <row r="721" spans="1:17">
      <c r="A721" t="s">
        <v>752</v>
      </c>
      <c r="B721">
        <f>COUNTIF($A$2:A721,A721)</f>
        <v>1</v>
      </c>
      <c r="C721" s="2">
        <v>45674</v>
      </c>
      <c r="D721" t="s">
        <v>723</v>
      </c>
      <c r="E721" t="s">
        <v>23</v>
      </c>
      <c r="F721" t="s">
        <v>19</v>
      </c>
      <c r="G721" t="s">
        <v>20</v>
      </c>
      <c r="H721" t="s">
        <v>26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0</v>
      </c>
      <c r="Q721">
        <v>61.6</v>
      </c>
    </row>
    <row r="722" spans="1:17">
      <c r="A722" t="s">
        <v>753</v>
      </c>
      <c r="B722">
        <f>COUNTIF($A$2:A722,A722)</f>
        <v>1</v>
      </c>
      <c r="C722" s="2">
        <v>45679</v>
      </c>
      <c r="D722" t="s">
        <v>723</v>
      </c>
      <c r="E722" t="s">
        <v>28</v>
      </c>
      <c r="F722" t="s">
        <v>24</v>
      </c>
      <c r="G722" t="s">
        <v>39</v>
      </c>
      <c r="H722" t="s">
        <v>21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Q722">
        <v>82.3</v>
      </c>
    </row>
    <row r="723" spans="1:17">
      <c r="A723" t="s">
        <v>754</v>
      </c>
      <c r="B723">
        <f>COUNTIF($A$2:A723,A723)</f>
        <v>1</v>
      </c>
      <c r="C723" s="2">
        <v>45781</v>
      </c>
      <c r="D723" t="s">
        <v>723</v>
      </c>
      <c r="E723" t="s">
        <v>28</v>
      </c>
      <c r="F723" t="s">
        <v>19</v>
      </c>
      <c r="G723" t="s">
        <v>29</v>
      </c>
      <c r="H723" t="s">
        <v>26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Q723">
        <v>79.3</v>
      </c>
    </row>
    <row r="724" spans="1:17">
      <c r="A724" t="s">
        <v>755</v>
      </c>
      <c r="B724">
        <f>COUNTIF($A$2:A724,A724)</f>
        <v>1</v>
      </c>
      <c r="C724" s="2">
        <v>45729</v>
      </c>
      <c r="D724" t="s">
        <v>723</v>
      </c>
      <c r="E724" t="s">
        <v>32</v>
      </c>
      <c r="F724" t="s">
        <v>24</v>
      </c>
      <c r="H724" t="s">
        <v>26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Q724">
        <v>57.7</v>
      </c>
    </row>
    <row r="725" spans="1:17">
      <c r="A725" t="s">
        <v>756</v>
      </c>
      <c r="B725">
        <f>COUNTIF($A$2:A725,A725)</f>
        <v>1</v>
      </c>
      <c r="C725" s="2">
        <v>45659</v>
      </c>
      <c r="D725" t="s">
        <v>723</v>
      </c>
      <c r="E725" t="s">
        <v>18</v>
      </c>
      <c r="F725" t="s">
        <v>24</v>
      </c>
      <c r="G725" t="s">
        <v>25</v>
      </c>
      <c r="H725" t="s">
        <v>21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Q725">
        <v>63.1</v>
      </c>
    </row>
    <row r="726" spans="1:17">
      <c r="A726" t="s">
        <v>757</v>
      </c>
      <c r="B726">
        <f>COUNTIF($A$2:A726,A726)</f>
        <v>1</v>
      </c>
      <c r="C726" s="2">
        <v>45670</v>
      </c>
      <c r="D726" t="s">
        <v>723</v>
      </c>
      <c r="E726" t="s">
        <v>28</v>
      </c>
      <c r="F726" t="s">
        <v>24</v>
      </c>
      <c r="G726" t="s">
        <v>29</v>
      </c>
      <c r="H726" t="s">
        <v>21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Q726">
        <v>72.3</v>
      </c>
    </row>
    <row r="727" spans="1:17">
      <c r="A727" t="s">
        <v>758</v>
      </c>
      <c r="B727">
        <f>COUNTIF($A$2:A727,A727)</f>
        <v>1</v>
      </c>
      <c r="C727" s="2">
        <v>45697</v>
      </c>
      <c r="D727" t="s">
        <v>723</v>
      </c>
      <c r="E727" t="s">
        <v>28</v>
      </c>
      <c r="F727" t="s">
        <v>24</v>
      </c>
      <c r="G727" t="s">
        <v>41</v>
      </c>
      <c r="H727" t="s">
        <v>26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Q727">
        <v>78</v>
      </c>
    </row>
    <row r="728" spans="1:17">
      <c r="A728" t="s">
        <v>759</v>
      </c>
      <c r="B728">
        <f>COUNTIF($A$2:A728,A728)</f>
        <v>1</v>
      </c>
      <c r="C728" s="2">
        <v>45756</v>
      </c>
      <c r="D728" t="s">
        <v>723</v>
      </c>
      <c r="E728" t="s">
        <v>28</v>
      </c>
      <c r="F728" t="s">
        <v>19</v>
      </c>
      <c r="G728" t="s">
        <v>41</v>
      </c>
      <c r="H728" t="s">
        <v>26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2</v>
      </c>
      <c r="O728">
        <v>0</v>
      </c>
      <c r="Q728">
        <v>59.1</v>
      </c>
    </row>
    <row r="729" spans="1:17">
      <c r="A729" t="s">
        <v>760</v>
      </c>
      <c r="B729">
        <f>COUNTIF($A$2:A729,A729)</f>
        <v>1</v>
      </c>
      <c r="C729" s="2">
        <v>45659</v>
      </c>
      <c r="D729" t="s">
        <v>723</v>
      </c>
      <c r="E729" t="s">
        <v>32</v>
      </c>
      <c r="F729" t="s">
        <v>24</v>
      </c>
      <c r="G729" t="s">
        <v>29</v>
      </c>
      <c r="H729" t="s">
        <v>26</v>
      </c>
      <c r="I729">
        <v>1</v>
      </c>
      <c r="J729">
        <v>1</v>
      </c>
      <c r="K729">
        <v>1</v>
      </c>
      <c r="L729">
        <v>1</v>
      </c>
      <c r="M729">
        <v>604.09</v>
      </c>
      <c r="N729">
        <v>0</v>
      </c>
      <c r="O729">
        <v>0</v>
      </c>
      <c r="P729">
        <v>7</v>
      </c>
      <c r="Q729">
        <v>47.1</v>
      </c>
    </row>
    <row r="730" spans="1:17">
      <c r="A730" t="s">
        <v>761</v>
      </c>
      <c r="B730">
        <f>COUNTIF($A$2:A730,A730)</f>
        <v>1</v>
      </c>
      <c r="C730" s="2">
        <v>45692</v>
      </c>
      <c r="D730" t="s">
        <v>723</v>
      </c>
      <c r="E730" t="s">
        <v>32</v>
      </c>
      <c r="F730" t="s">
        <v>24</v>
      </c>
      <c r="H730" t="s">
        <v>30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Q730">
        <v>64.900000000000006</v>
      </c>
    </row>
    <row r="731" spans="1:17">
      <c r="A731" t="s">
        <v>762</v>
      </c>
      <c r="B731">
        <f>COUNTIF($A$2:A731,A731)</f>
        <v>1</v>
      </c>
      <c r="C731" s="2">
        <v>45707</v>
      </c>
      <c r="D731" t="s">
        <v>723</v>
      </c>
      <c r="E731" t="s">
        <v>32</v>
      </c>
      <c r="F731" t="s">
        <v>34</v>
      </c>
      <c r="G731" t="s">
        <v>29</v>
      </c>
      <c r="H731" t="s">
        <v>26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Q731">
        <v>67.3</v>
      </c>
    </row>
    <row r="732" spans="1:17">
      <c r="A732" t="s">
        <v>763</v>
      </c>
      <c r="B732">
        <f>COUNTIF($A$2:A732,A732)</f>
        <v>1</v>
      </c>
      <c r="C732" s="2">
        <v>45748</v>
      </c>
      <c r="D732" t="s">
        <v>723</v>
      </c>
      <c r="E732" t="s">
        <v>28</v>
      </c>
      <c r="F732" t="s">
        <v>24</v>
      </c>
      <c r="G732" t="s">
        <v>29</v>
      </c>
      <c r="H732" t="s">
        <v>21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2</v>
      </c>
      <c r="O732">
        <v>0</v>
      </c>
      <c r="Q732">
        <v>52.9</v>
      </c>
    </row>
    <row r="733" spans="1:17">
      <c r="A733" t="s">
        <v>764</v>
      </c>
      <c r="B733">
        <f>COUNTIF($A$2:A733,A733)</f>
        <v>1</v>
      </c>
      <c r="C733" s="2">
        <v>45686</v>
      </c>
      <c r="D733" t="s">
        <v>723</v>
      </c>
      <c r="E733" t="s">
        <v>18</v>
      </c>
      <c r="F733" t="s">
        <v>24</v>
      </c>
      <c r="G733" t="s">
        <v>39</v>
      </c>
      <c r="H733" t="s">
        <v>26</v>
      </c>
      <c r="I733">
        <v>1</v>
      </c>
      <c r="J733">
        <v>1</v>
      </c>
      <c r="K733">
        <v>1</v>
      </c>
      <c r="L733">
        <v>1</v>
      </c>
      <c r="M733">
        <v>442.37</v>
      </c>
      <c r="N733">
        <v>1</v>
      </c>
      <c r="O733">
        <v>0</v>
      </c>
      <c r="P733">
        <v>4</v>
      </c>
      <c r="Q733">
        <v>69.900000000000006</v>
      </c>
    </row>
    <row r="734" spans="1:17">
      <c r="A734" t="s">
        <v>765</v>
      </c>
      <c r="B734">
        <f>COUNTIF($A$2:A734,A734)</f>
        <v>1</v>
      </c>
      <c r="C734" s="2">
        <v>45795</v>
      </c>
      <c r="D734" t="s">
        <v>723</v>
      </c>
      <c r="E734" t="s">
        <v>18</v>
      </c>
      <c r="F734" t="s">
        <v>24</v>
      </c>
      <c r="G734" t="s">
        <v>39</v>
      </c>
      <c r="H734" t="s">
        <v>21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Q734">
        <v>78.900000000000006</v>
      </c>
    </row>
    <row r="735" spans="1:17">
      <c r="A735" t="s">
        <v>766</v>
      </c>
      <c r="B735">
        <f>COUNTIF($A$2:A735,A735)</f>
        <v>1</v>
      </c>
      <c r="C735" s="2">
        <v>45762</v>
      </c>
      <c r="D735" t="s">
        <v>723</v>
      </c>
      <c r="E735" t="s">
        <v>28</v>
      </c>
      <c r="F735" t="s">
        <v>19</v>
      </c>
      <c r="G735" t="s">
        <v>41</v>
      </c>
      <c r="H735" t="s">
        <v>30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Q735">
        <v>83.3</v>
      </c>
    </row>
    <row r="736" spans="1:17">
      <c r="A736" t="s">
        <v>767</v>
      </c>
      <c r="B736">
        <f>COUNTIF($A$2:A736,A736)</f>
        <v>1</v>
      </c>
      <c r="C736" s="2">
        <v>45744</v>
      </c>
      <c r="D736" t="s">
        <v>723</v>
      </c>
      <c r="E736" t="s">
        <v>28</v>
      </c>
      <c r="F736" t="s">
        <v>19</v>
      </c>
      <c r="G736" t="s">
        <v>20</v>
      </c>
      <c r="H736" t="s">
        <v>26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Q736">
        <v>24.5</v>
      </c>
    </row>
    <row r="737" spans="1:17">
      <c r="A737" t="s">
        <v>768</v>
      </c>
      <c r="B737">
        <f>COUNTIF($A$2:A737,A737)</f>
        <v>1</v>
      </c>
      <c r="C737" s="2">
        <v>45748</v>
      </c>
      <c r="D737" t="s">
        <v>723</v>
      </c>
      <c r="E737" t="s">
        <v>23</v>
      </c>
      <c r="F737" t="s">
        <v>24</v>
      </c>
      <c r="G737" t="s">
        <v>29</v>
      </c>
      <c r="H737" t="s">
        <v>21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0</v>
      </c>
      <c r="Q737">
        <v>56.9</v>
      </c>
    </row>
    <row r="738" spans="1:17">
      <c r="A738" t="s">
        <v>769</v>
      </c>
      <c r="B738">
        <f>COUNTIF($A$2:A738,A738)</f>
        <v>1</v>
      </c>
      <c r="C738" s="2">
        <v>45699</v>
      </c>
      <c r="D738" t="s">
        <v>723</v>
      </c>
      <c r="E738" t="s">
        <v>23</v>
      </c>
      <c r="F738" t="s">
        <v>24</v>
      </c>
      <c r="G738" t="s">
        <v>41</v>
      </c>
      <c r="H738" t="s">
        <v>21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Q738">
        <v>69.900000000000006</v>
      </c>
    </row>
    <row r="739" spans="1:17">
      <c r="A739" t="s">
        <v>770</v>
      </c>
      <c r="B739">
        <f>COUNTIF($A$2:A739,A739)</f>
        <v>1</v>
      </c>
      <c r="C739" s="2">
        <v>45720</v>
      </c>
      <c r="D739" t="s">
        <v>723</v>
      </c>
      <c r="E739" t="s">
        <v>32</v>
      </c>
      <c r="F739" t="s">
        <v>24</v>
      </c>
      <c r="G739" t="s">
        <v>25</v>
      </c>
      <c r="H739" t="s">
        <v>26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Q739">
        <v>81.5</v>
      </c>
    </row>
    <row r="740" spans="1:17">
      <c r="A740" t="s">
        <v>771</v>
      </c>
      <c r="B740">
        <f>COUNTIF($A$2:A740,A740)</f>
        <v>1</v>
      </c>
      <c r="C740" s="2">
        <v>45678</v>
      </c>
      <c r="D740" t="s">
        <v>723</v>
      </c>
      <c r="E740" t="s">
        <v>18</v>
      </c>
      <c r="F740" t="s">
        <v>34</v>
      </c>
      <c r="G740" t="s">
        <v>41</v>
      </c>
      <c r="H740" t="s">
        <v>21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</v>
      </c>
      <c r="O740">
        <v>0</v>
      </c>
      <c r="Q740">
        <v>37.9</v>
      </c>
    </row>
    <row r="741" spans="1:17">
      <c r="A741" t="s">
        <v>772</v>
      </c>
      <c r="B741">
        <f>COUNTIF($A$2:A741,A741)</f>
        <v>1</v>
      </c>
      <c r="C741" s="2">
        <v>45702</v>
      </c>
      <c r="D741" t="s">
        <v>723</v>
      </c>
      <c r="E741" t="s">
        <v>18</v>
      </c>
      <c r="F741" t="s">
        <v>24</v>
      </c>
      <c r="G741" t="s">
        <v>39</v>
      </c>
      <c r="H741" t="s">
        <v>26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Q741">
        <v>61.7</v>
      </c>
    </row>
    <row r="742" spans="1:17">
      <c r="A742" t="s">
        <v>773</v>
      </c>
      <c r="B742">
        <f>COUNTIF($A$2:A742,A742)</f>
        <v>1</v>
      </c>
      <c r="C742" s="2">
        <v>45746</v>
      </c>
      <c r="D742" t="s">
        <v>723</v>
      </c>
      <c r="E742" t="s">
        <v>18</v>
      </c>
      <c r="F742" t="s">
        <v>19</v>
      </c>
      <c r="H742" t="s">
        <v>30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0</v>
      </c>
      <c r="Q742">
        <v>53.2</v>
      </c>
    </row>
    <row r="743" spans="1:17">
      <c r="A743" t="s">
        <v>774</v>
      </c>
      <c r="B743">
        <f>COUNTIF($A$2:A743,A743)</f>
        <v>1</v>
      </c>
      <c r="C743" s="2">
        <v>45665</v>
      </c>
      <c r="D743" t="s">
        <v>723</v>
      </c>
      <c r="E743" t="s">
        <v>18</v>
      </c>
      <c r="F743" t="s">
        <v>24</v>
      </c>
      <c r="G743" t="s">
        <v>39</v>
      </c>
      <c r="H743" t="s">
        <v>26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Q743">
        <v>61.9</v>
      </c>
    </row>
    <row r="744" spans="1:17">
      <c r="A744" t="s">
        <v>775</v>
      </c>
      <c r="B744">
        <f>COUNTIF($A$2:A744,A744)</f>
        <v>1</v>
      </c>
      <c r="C744" s="2">
        <v>45695</v>
      </c>
      <c r="D744" t="s">
        <v>723</v>
      </c>
      <c r="E744" t="s">
        <v>18</v>
      </c>
      <c r="F744" t="s">
        <v>24</v>
      </c>
      <c r="G744" t="s">
        <v>41</v>
      </c>
      <c r="H744" t="s">
        <v>26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0</v>
      </c>
      <c r="Q744">
        <v>68.900000000000006</v>
      </c>
    </row>
    <row r="745" spans="1:17">
      <c r="A745" t="s">
        <v>776</v>
      </c>
      <c r="B745">
        <f>COUNTIF($A$2:A745,A745)</f>
        <v>1</v>
      </c>
      <c r="C745" s="2">
        <v>45689</v>
      </c>
      <c r="D745" t="s">
        <v>723</v>
      </c>
      <c r="E745" t="s">
        <v>18</v>
      </c>
      <c r="F745" t="s">
        <v>34</v>
      </c>
      <c r="G745" t="s">
        <v>29</v>
      </c>
      <c r="H745" t="s">
        <v>21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Q745">
        <v>66.3</v>
      </c>
    </row>
    <row r="746" spans="1:17">
      <c r="A746" t="s">
        <v>777</v>
      </c>
      <c r="B746">
        <f>COUNTIF($A$2:A746,A746)</f>
        <v>1</v>
      </c>
      <c r="C746" s="2">
        <v>45661</v>
      </c>
      <c r="D746" t="s">
        <v>723</v>
      </c>
      <c r="E746" t="s">
        <v>28</v>
      </c>
      <c r="F746" t="s">
        <v>24</v>
      </c>
      <c r="G746" t="s">
        <v>20</v>
      </c>
      <c r="H746" t="s">
        <v>26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0</v>
      </c>
      <c r="Q746">
        <v>54.6</v>
      </c>
    </row>
    <row r="747" spans="1:17">
      <c r="A747" t="s">
        <v>778</v>
      </c>
      <c r="B747">
        <f>COUNTIF($A$2:A747,A747)</f>
        <v>1</v>
      </c>
      <c r="C747" s="2">
        <v>45793</v>
      </c>
      <c r="D747" t="s">
        <v>723</v>
      </c>
      <c r="E747" t="s">
        <v>32</v>
      </c>
      <c r="F747" t="s">
        <v>19</v>
      </c>
      <c r="G747" t="s">
        <v>39</v>
      </c>
      <c r="H747" t="s">
        <v>26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Q747">
        <v>53.8</v>
      </c>
    </row>
    <row r="748" spans="1:17">
      <c r="A748" t="s">
        <v>779</v>
      </c>
      <c r="B748">
        <f>COUNTIF($A$2:A748,A748)</f>
        <v>1</v>
      </c>
      <c r="C748" s="2">
        <v>45716</v>
      </c>
      <c r="D748" t="s">
        <v>723</v>
      </c>
      <c r="E748" t="s">
        <v>23</v>
      </c>
      <c r="F748" t="s">
        <v>24</v>
      </c>
      <c r="G748" t="s">
        <v>39</v>
      </c>
      <c r="H748" t="s">
        <v>26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Q748">
        <v>59.5</v>
      </c>
    </row>
    <row r="749" spans="1:17">
      <c r="A749" t="s">
        <v>780</v>
      </c>
      <c r="B749">
        <f>COUNTIF($A$2:A749,A749)</f>
        <v>1</v>
      </c>
      <c r="C749" s="2">
        <v>45759</v>
      </c>
      <c r="D749" t="s">
        <v>723</v>
      </c>
      <c r="E749" t="s">
        <v>18</v>
      </c>
      <c r="F749" t="s">
        <v>24</v>
      </c>
      <c r="G749" t="s">
        <v>39</v>
      </c>
      <c r="H749" t="s">
        <v>26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Q749">
        <v>52.6</v>
      </c>
    </row>
    <row r="750" spans="1:17">
      <c r="A750" t="s">
        <v>781</v>
      </c>
      <c r="B750">
        <f>COUNTIF($A$2:A750,A750)</f>
        <v>1</v>
      </c>
      <c r="C750" s="2">
        <v>45739</v>
      </c>
      <c r="D750" t="s">
        <v>723</v>
      </c>
      <c r="E750" t="s">
        <v>32</v>
      </c>
      <c r="F750" t="s">
        <v>19</v>
      </c>
      <c r="G750" t="s">
        <v>25</v>
      </c>
      <c r="H750" t="s">
        <v>26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Q750">
        <v>49</v>
      </c>
    </row>
    <row r="751" spans="1:17">
      <c r="A751" t="s">
        <v>782</v>
      </c>
      <c r="B751">
        <f>COUNTIF($A$2:A751,A751)</f>
        <v>1</v>
      </c>
      <c r="C751" s="2">
        <v>45806</v>
      </c>
      <c r="D751" t="s">
        <v>723</v>
      </c>
      <c r="E751" t="s">
        <v>18</v>
      </c>
      <c r="F751" t="s">
        <v>34</v>
      </c>
      <c r="G751" t="s">
        <v>25</v>
      </c>
      <c r="H751" t="s">
        <v>26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Q751">
        <v>59.3</v>
      </c>
    </row>
    <row r="752" spans="1:17">
      <c r="A752" t="s">
        <v>783</v>
      </c>
      <c r="B752">
        <f>COUNTIF($A$2:A752,A752)</f>
        <v>1</v>
      </c>
      <c r="C752" s="2">
        <v>45798</v>
      </c>
      <c r="D752" t="s">
        <v>723</v>
      </c>
      <c r="E752" t="s">
        <v>32</v>
      </c>
      <c r="F752" t="s">
        <v>19</v>
      </c>
      <c r="G752" t="s">
        <v>25</v>
      </c>
      <c r="H752" t="s">
        <v>21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Q752">
        <v>67.2</v>
      </c>
    </row>
    <row r="753" spans="1:17">
      <c r="A753" t="s">
        <v>784</v>
      </c>
      <c r="B753">
        <f>COUNTIF($A$2:A753,A753)</f>
        <v>1</v>
      </c>
      <c r="C753" s="2">
        <v>45662</v>
      </c>
      <c r="D753" t="s">
        <v>723</v>
      </c>
      <c r="E753" t="s">
        <v>32</v>
      </c>
      <c r="F753" t="s">
        <v>24</v>
      </c>
      <c r="G753" t="s">
        <v>39</v>
      </c>
      <c r="H753" t="s">
        <v>30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Q753">
        <v>73.5</v>
      </c>
    </row>
    <row r="754" spans="1:17">
      <c r="A754" t="s">
        <v>785</v>
      </c>
      <c r="B754">
        <f>COUNTIF($A$2:A754,A754)</f>
        <v>1</v>
      </c>
      <c r="C754" s="2">
        <v>45735</v>
      </c>
      <c r="D754" t="s">
        <v>723</v>
      </c>
      <c r="E754" t="s">
        <v>28</v>
      </c>
      <c r="F754" t="s">
        <v>34</v>
      </c>
      <c r="G754" t="s">
        <v>25</v>
      </c>
      <c r="H754" t="s">
        <v>26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Q754">
        <v>61.2</v>
      </c>
    </row>
    <row r="755" spans="1:17">
      <c r="A755" t="s">
        <v>786</v>
      </c>
      <c r="B755">
        <f>COUNTIF($A$2:A755,A755)</f>
        <v>1</v>
      </c>
      <c r="C755" s="2">
        <v>45771</v>
      </c>
      <c r="D755" t="s">
        <v>723</v>
      </c>
      <c r="E755" t="s">
        <v>28</v>
      </c>
      <c r="F755" t="s">
        <v>24</v>
      </c>
      <c r="G755" t="s">
        <v>25</v>
      </c>
      <c r="H755" t="s">
        <v>26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Q755">
        <v>56.4</v>
      </c>
    </row>
    <row r="756" spans="1:17">
      <c r="A756" t="s">
        <v>787</v>
      </c>
      <c r="B756">
        <f>COUNTIF($A$2:A756,A756)</f>
        <v>1</v>
      </c>
      <c r="C756" s="2">
        <v>45726</v>
      </c>
      <c r="D756" t="s">
        <v>723</v>
      </c>
      <c r="E756" t="s">
        <v>18</v>
      </c>
      <c r="F756" t="s">
        <v>34</v>
      </c>
      <c r="G756" t="s">
        <v>25</v>
      </c>
      <c r="H756" t="s">
        <v>26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3</v>
      </c>
      <c r="O756">
        <v>0</v>
      </c>
      <c r="Q756">
        <v>72.599999999999994</v>
      </c>
    </row>
    <row r="757" spans="1:17">
      <c r="A757" t="s">
        <v>788</v>
      </c>
      <c r="B757">
        <f>COUNTIF($A$2:A757,A757)</f>
        <v>1</v>
      </c>
      <c r="C757" s="2">
        <v>45710</v>
      </c>
      <c r="D757" t="s">
        <v>723</v>
      </c>
      <c r="E757" t="s">
        <v>32</v>
      </c>
      <c r="F757" t="s">
        <v>34</v>
      </c>
      <c r="G757" t="s">
        <v>39</v>
      </c>
      <c r="H757" t="s">
        <v>21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Q757">
        <v>61.7</v>
      </c>
    </row>
    <row r="758" spans="1:17">
      <c r="A758" t="s">
        <v>789</v>
      </c>
      <c r="B758">
        <f>COUNTIF($A$2:A758,A758)</f>
        <v>1</v>
      </c>
      <c r="C758" s="2">
        <v>45794</v>
      </c>
      <c r="D758" t="s">
        <v>723</v>
      </c>
      <c r="E758" t="s">
        <v>28</v>
      </c>
      <c r="F758" t="s">
        <v>24</v>
      </c>
      <c r="G758" t="s">
        <v>41</v>
      </c>
      <c r="H758" t="s">
        <v>26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Q758">
        <v>66.900000000000006</v>
      </c>
    </row>
    <row r="759" spans="1:17">
      <c r="A759" t="s">
        <v>790</v>
      </c>
      <c r="B759">
        <f>COUNTIF($A$2:A759,A759)</f>
        <v>1</v>
      </c>
      <c r="C759" s="2">
        <v>45786</v>
      </c>
      <c r="D759" t="s">
        <v>723</v>
      </c>
      <c r="E759" t="s">
        <v>28</v>
      </c>
      <c r="F759" t="s">
        <v>34</v>
      </c>
      <c r="G759" t="s">
        <v>39</v>
      </c>
      <c r="H759" t="s">
        <v>30</v>
      </c>
      <c r="I759">
        <v>1</v>
      </c>
      <c r="J759">
        <v>1</v>
      </c>
      <c r="K759">
        <v>1</v>
      </c>
      <c r="L759">
        <v>1</v>
      </c>
      <c r="M759">
        <v>1506.24</v>
      </c>
      <c r="N759">
        <v>1</v>
      </c>
      <c r="O759">
        <v>0</v>
      </c>
      <c r="P759">
        <v>7</v>
      </c>
      <c r="Q759">
        <v>64.900000000000006</v>
      </c>
    </row>
    <row r="760" spans="1:17">
      <c r="A760" t="s">
        <v>791</v>
      </c>
      <c r="B760">
        <f>COUNTIF($A$2:A760,A760)</f>
        <v>1</v>
      </c>
      <c r="C760" s="2">
        <v>45773</v>
      </c>
      <c r="D760" t="s">
        <v>723</v>
      </c>
      <c r="E760" t="s">
        <v>28</v>
      </c>
      <c r="F760" t="s">
        <v>34</v>
      </c>
      <c r="G760" t="s">
        <v>25</v>
      </c>
      <c r="H760" t="s">
        <v>30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Q760">
        <v>57.5</v>
      </c>
    </row>
    <row r="761" spans="1:17">
      <c r="A761" t="s">
        <v>792</v>
      </c>
      <c r="B761">
        <f>COUNTIF($A$2:A761,A761)</f>
        <v>1</v>
      </c>
      <c r="C761" s="2">
        <v>45731</v>
      </c>
      <c r="D761" t="s">
        <v>723</v>
      </c>
      <c r="E761" t="s">
        <v>23</v>
      </c>
      <c r="F761" t="s">
        <v>19</v>
      </c>
      <c r="G761" t="s">
        <v>41</v>
      </c>
      <c r="H761" t="s">
        <v>26</v>
      </c>
      <c r="I761">
        <v>1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Q761">
        <v>76.3</v>
      </c>
    </row>
    <row r="762" spans="1:17">
      <c r="A762" t="s">
        <v>793</v>
      </c>
      <c r="B762">
        <f>COUNTIF($A$2:A762,A762)</f>
        <v>1</v>
      </c>
      <c r="C762" s="2">
        <v>45750</v>
      </c>
      <c r="D762" t="s">
        <v>723</v>
      </c>
      <c r="E762" t="s">
        <v>18</v>
      </c>
      <c r="F762" t="s">
        <v>24</v>
      </c>
      <c r="G762" t="s">
        <v>29</v>
      </c>
      <c r="H762" t="s">
        <v>26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Q762">
        <v>47.5</v>
      </c>
    </row>
    <row r="763" spans="1:17">
      <c r="A763" t="s">
        <v>794</v>
      </c>
      <c r="B763">
        <f>COUNTIF($A$2:A763,A763)</f>
        <v>1</v>
      </c>
      <c r="C763" s="2">
        <v>45742</v>
      </c>
      <c r="D763" t="s">
        <v>723</v>
      </c>
      <c r="E763" t="s">
        <v>32</v>
      </c>
      <c r="F763" t="s">
        <v>24</v>
      </c>
      <c r="G763" t="s">
        <v>29</v>
      </c>
      <c r="H763" t="s">
        <v>26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7">
      <c r="A764" t="s">
        <v>795</v>
      </c>
      <c r="B764">
        <f>COUNTIF($A$2:A764,A764)</f>
        <v>1</v>
      </c>
      <c r="C764" s="2">
        <v>45693</v>
      </c>
      <c r="D764" t="s">
        <v>723</v>
      </c>
      <c r="E764" t="s">
        <v>23</v>
      </c>
      <c r="F764" t="s">
        <v>19</v>
      </c>
      <c r="G764" t="s">
        <v>25</v>
      </c>
      <c r="H764" t="s">
        <v>21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2</v>
      </c>
      <c r="O764">
        <v>0</v>
      </c>
      <c r="Q764">
        <v>71.599999999999994</v>
      </c>
    </row>
    <row r="765" spans="1:17">
      <c r="A765" t="s">
        <v>796</v>
      </c>
      <c r="B765">
        <f>COUNTIF($A$2:A765,A765)</f>
        <v>1</v>
      </c>
      <c r="C765" s="2">
        <v>45785</v>
      </c>
      <c r="D765" t="s">
        <v>723</v>
      </c>
      <c r="E765" t="s">
        <v>32</v>
      </c>
      <c r="F765" t="s">
        <v>24</v>
      </c>
      <c r="G765" t="s">
        <v>41</v>
      </c>
      <c r="H765" t="s">
        <v>21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Q765">
        <v>55.8</v>
      </c>
    </row>
    <row r="766" spans="1:17">
      <c r="A766" t="s">
        <v>797</v>
      </c>
      <c r="B766">
        <f>COUNTIF($A$2:A766,A766)</f>
        <v>1</v>
      </c>
      <c r="C766" s="2">
        <v>45741</v>
      </c>
      <c r="D766" t="s">
        <v>723</v>
      </c>
      <c r="E766" t="s">
        <v>32</v>
      </c>
      <c r="F766" t="s">
        <v>19</v>
      </c>
      <c r="G766" t="s">
        <v>25</v>
      </c>
      <c r="H766" t="s">
        <v>21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Q766">
        <v>60.1</v>
      </c>
    </row>
    <row r="767" spans="1:17">
      <c r="A767" t="s">
        <v>798</v>
      </c>
      <c r="B767">
        <f>COUNTIF($A$2:A767,A767)</f>
        <v>1</v>
      </c>
      <c r="C767" s="2">
        <v>45671</v>
      </c>
      <c r="D767" t="s">
        <v>723</v>
      </c>
      <c r="E767" t="s">
        <v>23</v>
      </c>
      <c r="G767" t="s">
        <v>20</v>
      </c>
      <c r="H767" t="s">
        <v>21</v>
      </c>
      <c r="I767">
        <v>1</v>
      </c>
      <c r="J767">
        <v>1</v>
      </c>
      <c r="K767">
        <v>1</v>
      </c>
      <c r="L767">
        <v>0</v>
      </c>
      <c r="M767">
        <v>0</v>
      </c>
      <c r="N767">
        <v>1</v>
      </c>
      <c r="O767">
        <v>0</v>
      </c>
      <c r="Q767">
        <v>59.3</v>
      </c>
    </row>
    <row r="768" spans="1:17">
      <c r="A768" t="s">
        <v>799</v>
      </c>
      <c r="B768">
        <f>COUNTIF($A$2:A768,A768)</f>
        <v>1</v>
      </c>
      <c r="C768" s="2">
        <v>45742</v>
      </c>
      <c r="D768" t="s">
        <v>723</v>
      </c>
      <c r="E768" t="s">
        <v>18</v>
      </c>
      <c r="F768" t="s">
        <v>24</v>
      </c>
      <c r="G768" t="s">
        <v>25</v>
      </c>
      <c r="H768" t="s">
        <v>26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2</v>
      </c>
      <c r="O768">
        <v>0</v>
      </c>
      <c r="Q768">
        <v>49.3</v>
      </c>
    </row>
    <row r="769" spans="1:17">
      <c r="A769" t="s">
        <v>800</v>
      </c>
      <c r="B769">
        <f>COUNTIF($A$2:A769,A769)</f>
        <v>1</v>
      </c>
      <c r="C769" s="2">
        <v>45673</v>
      </c>
      <c r="D769" t="s">
        <v>723</v>
      </c>
      <c r="E769" t="s">
        <v>28</v>
      </c>
      <c r="F769" t="s">
        <v>24</v>
      </c>
      <c r="G769" t="s">
        <v>39</v>
      </c>
      <c r="H769" t="s">
        <v>26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Q769">
        <v>75</v>
      </c>
    </row>
    <row r="770" spans="1:17">
      <c r="A770" t="s">
        <v>801</v>
      </c>
      <c r="B770">
        <f>COUNTIF($A$2:A770,A770)</f>
        <v>1</v>
      </c>
      <c r="C770" s="2">
        <v>45661</v>
      </c>
      <c r="D770" t="s">
        <v>723</v>
      </c>
      <c r="E770" t="s">
        <v>28</v>
      </c>
      <c r="F770" t="s">
        <v>24</v>
      </c>
      <c r="G770" t="s">
        <v>41</v>
      </c>
      <c r="H770" t="s">
        <v>26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Q770">
        <v>70.2</v>
      </c>
    </row>
    <row r="771" spans="1:17">
      <c r="A771" t="s">
        <v>802</v>
      </c>
      <c r="B771">
        <f>COUNTIF($A$2:A771,A771)</f>
        <v>1</v>
      </c>
      <c r="C771" s="2">
        <v>45697</v>
      </c>
      <c r="D771" t="s">
        <v>723</v>
      </c>
      <c r="E771" t="s">
        <v>32</v>
      </c>
      <c r="F771" t="s">
        <v>19</v>
      </c>
      <c r="G771" t="s">
        <v>25</v>
      </c>
      <c r="H771" t="s">
        <v>30</v>
      </c>
      <c r="I771">
        <v>1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Q771">
        <v>56.6</v>
      </c>
    </row>
    <row r="772" spans="1:17">
      <c r="A772" t="s">
        <v>803</v>
      </c>
      <c r="B772">
        <f>COUNTIF($A$2:A772,A772)</f>
        <v>1</v>
      </c>
      <c r="C772" s="2">
        <v>45721</v>
      </c>
      <c r="D772" t="s">
        <v>723</v>
      </c>
      <c r="E772" t="s">
        <v>28</v>
      </c>
      <c r="F772" t="s">
        <v>19</v>
      </c>
      <c r="G772" t="s">
        <v>25</v>
      </c>
      <c r="H772" t="s">
        <v>26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Q772">
        <v>65.400000000000006</v>
      </c>
    </row>
    <row r="773" spans="1:17">
      <c r="A773" t="s">
        <v>804</v>
      </c>
      <c r="B773">
        <f>COUNTIF($A$2:A773,A773)</f>
        <v>1</v>
      </c>
      <c r="C773" s="2">
        <v>45726</v>
      </c>
      <c r="D773" t="s">
        <v>723</v>
      </c>
      <c r="E773" t="s">
        <v>28</v>
      </c>
      <c r="F773" t="s">
        <v>24</v>
      </c>
      <c r="G773" t="s">
        <v>39</v>
      </c>
      <c r="H773" t="s">
        <v>21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Q773">
        <v>47.6</v>
      </c>
    </row>
    <row r="774" spans="1:17">
      <c r="A774" t="s">
        <v>805</v>
      </c>
      <c r="B774">
        <f>COUNTIF($A$2:A774,A774)</f>
        <v>1</v>
      </c>
      <c r="C774" s="2">
        <v>45715</v>
      </c>
      <c r="D774" t="s">
        <v>723</v>
      </c>
      <c r="E774" t="s">
        <v>28</v>
      </c>
      <c r="F774" t="s">
        <v>19</v>
      </c>
      <c r="G774" t="s">
        <v>29</v>
      </c>
      <c r="H774" t="s">
        <v>26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Q774">
        <v>56.7</v>
      </c>
    </row>
    <row r="775" spans="1:17">
      <c r="A775" t="s">
        <v>806</v>
      </c>
      <c r="B775">
        <f>COUNTIF($A$2:A775,A775)</f>
        <v>1</v>
      </c>
      <c r="C775" s="2">
        <v>45726</v>
      </c>
      <c r="D775" t="s">
        <v>723</v>
      </c>
      <c r="E775" t="s">
        <v>18</v>
      </c>
      <c r="F775" t="s">
        <v>19</v>
      </c>
      <c r="G775" t="s">
        <v>39</v>
      </c>
      <c r="H775" t="s">
        <v>21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Q775">
        <v>71.400000000000006</v>
      </c>
    </row>
    <row r="776" spans="1:17">
      <c r="A776" t="s">
        <v>807</v>
      </c>
      <c r="B776">
        <f>COUNTIF($A$2:A776,A776)</f>
        <v>1</v>
      </c>
      <c r="C776" s="2">
        <v>45770</v>
      </c>
      <c r="D776" t="s">
        <v>723</v>
      </c>
      <c r="E776" t="s">
        <v>23</v>
      </c>
      <c r="F776" t="s">
        <v>24</v>
      </c>
      <c r="G776" t="s">
        <v>41</v>
      </c>
      <c r="H776" t="s">
        <v>26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</v>
      </c>
      <c r="O776">
        <v>0</v>
      </c>
      <c r="Q776">
        <v>60.5</v>
      </c>
    </row>
    <row r="777" spans="1:17">
      <c r="A777" t="s">
        <v>808</v>
      </c>
      <c r="B777">
        <f>COUNTIF($A$2:A777,A777)</f>
        <v>1</v>
      </c>
      <c r="C777" s="2">
        <v>45759</v>
      </c>
      <c r="D777" t="s">
        <v>723</v>
      </c>
      <c r="E777" t="s">
        <v>18</v>
      </c>
      <c r="F777" t="s">
        <v>19</v>
      </c>
      <c r="G777" t="s">
        <v>29</v>
      </c>
      <c r="H777" t="s">
        <v>26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Q777">
        <v>46.7</v>
      </c>
    </row>
    <row r="778" spans="1:17">
      <c r="A778" t="s">
        <v>809</v>
      </c>
      <c r="B778">
        <f>COUNTIF($A$2:A778,A778)</f>
        <v>1</v>
      </c>
      <c r="C778" s="2">
        <v>45683</v>
      </c>
      <c r="D778" t="s">
        <v>723</v>
      </c>
      <c r="E778" t="s">
        <v>28</v>
      </c>
      <c r="F778" t="s">
        <v>19</v>
      </c>
      <c r="G778" t="s">
        <v>39</v>
      </c>
      <c r="H778" t="s">
        <v>26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Q778">
        <v>61</v>
      </c>
    </row>
    <row r="779" spans="1:17">
      <c r="A779" t="s">
        <v>810</v>
      </c>
      <c r="B779">
        <f>COUNTIF($A$2:A779,A779)</f>
        <v>1</v>
      </c>
      <c r="C779" s="2">
        <v>45801</v>
      </c>
      <c r="D779" t="s">
        <v>723</v>
      </c>
      <c r="E779" t="s">
        <v>23</v>
      </c>
      <c r="F779" t="s">
        <v>34</v>
      </c>
      <c r="G779" t="s">
        <v>29</v>
      </c>
      <c r="H779" t="s">
        <v>26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Q779">
        <v>60.9</v>
      </c>
    </row>
    <row r="780" spans="1:17">
      <c r="A780" t="s">
        <v>811</v>
      </c>
      <c r="B780">
        <f>COUNTIF($A$2:A780,A780)</f>
        <v>1</v>
      </c>
      <c r="C780" s="2">
        <v>45665</v>
      </c>
      <c r="D780" t="s">
        <v>723</v>
      </c>
      <c r="E780" t="s">
        <v>32</v>
      </c>
      <c r="F780" t="s">
        <v>24</v>
      </c>
      <c r="G780" t="s">
        <v>25</v>
      </c>
      <c r="H780" t="s">
        <v>26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Q780">
        <v>67.099999999999994</v>
      </c>
    </row>
    <row r="781" spans="1:17">
      <c r="A781" t="s">
        <v>812</v>
      </c>
      <c r="B781">
        <f>COUNTIF($A$2:A781,A781)</f>
        <v>1</v>
      </c>
      <c r="C781" s="2">
        <v>45762</v>
      </c>
      <c r="D781" t="s">
        <v>723</v>
      </c>
      <c r="E781" t="s">
        <v>18</v>
      </c>
      <c r="F781" t="s">
        <v>24</v>
      </c>
      <c r="G781" t="s">
        <v>39</v>
      </c>
      <c r="H781" t="s">
        <v>26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Q781">
        <v>59.6</v>
      </c>
    </row>
    <row r="782" spans="1:17">
      <c r="A782" t="s">
        <v>813</v>
      </c>
      <c r="B782">
        <f>COUNTIF($A$2:A782,A782)</f>
        <v>1</v>
      </c>
      <c r="C782" s="2">
        <v>45672</v>
      </c>
      <c r="D782" t="s">
        <v>723</v>
      </c>
      <c r="E782" t="s">
        <v>32</v>
      </c>
      <c r="F782" t="s">
        <v>19</v>
      </c>
      <c r="G782" t="s">
        <v>29</v>
      </c>
      <c r="H782" t="s">
        <v>26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Q782">
        <v>83.8</v>
      </c>
    </row>
    <row r="783" spans="1:17">
      <c r="A783" t="s">
        <v>814</v>
      </c>
      <c r="B783">
        <f>COUNTIF($A$2:A783,A783)</f>
        <v>1</v>
      </c>
      <c r="C783" s="2">
        <v>45716</v>
      </c>
      <c r="D783" t="s">
        <v>723</v>
      </c>
      <c r="E783" t="s">
        <v>18</v>
      </c>
      <c r="F783" t="s">
        <v>24</v>
      </c>
      <c r="G783" t="s">
        <v>25</v>
      </c>
      <c r="H783" t="s">
        <v>21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0</v>
      </c>
      <c r="Q783">
        <v>70.8</v>
      </c>
    </row>
    <row r="784" spans="1:17">
      <c r="A784" t="s">
        <v>815</v>
      </c>
      <c r="B784">
        <f>COUNTIF($A$2:A784,A784)</f>
        <v>1</v>
      </c>
      <c r="C784" s="2">
        <v>45658</v>
      </c>
      <c r="D784" t="s">
        <v>723</v>
      </c>
      <c r="E784" t="s">
        <v>18</v>
      </c>
      <c r="F784" t="s">
        <v>34</v>
      </c>
      <c r="G784" t="s">
        <v>25</v>
      </c>
      <c r="H784" t="s">
        <v>21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Q784">
        <v>65.900000000000006</v>
      </c>
    </row>
    <row r="785" spans="1:17">
      <c r="A785" t="s">
        <v>816</v>
      </c>
      <c r="B785">
        <f>COUNTIF($A$2:A785,A785)</f>
        <v>1</v>
      </c>
      <c r="C785" s="2">
        <v>45764</v>
      </c>
      <c r="D785" t="s">
        <v>723</v>
      </c>
      <c r="E785" t="s">
        <v>23</v>
      </c>
      <c r="F785" t="s">
        <v>24</v>
      </c>
      <c r="G785" t="s">
        <v>39</v>
      </c>
      <c r="H785" t="s">
        <v>26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Q785">
        <v>58</v>
      </c>
    </row>
    <row r="786" spans="1:17">
      <c r="A786" t="s">
        <v>817</v>
      </c>
      <c r="B786">
        <f>COUNTIF($A$2:A786,A786)</f>
        <v>1</v>
      </c>
      <c r="C786" s="2">
        <v>45707</v>
      </c>
      <c r="D786" t="s">
        <v>723</v>
      </c>
      <c r="E786" t="s">
        <v>18</v>
      </c>
      <c r="F786" t="s">
        <v>24</v>
      </c>
      <c r="G786" t="s">
        <v>20</v>
      </c>
      <c r="H786" t="s">
        <v>21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Q786">
        <v>80.3</v>
      </c>
    </row>
    <row r="787" spans="1:17">
      <c r="A787" t="s">
        <v>818</v>
      </c>
      <c r="B787">
        <f>COUNTIF($A$2:A787,A787)</f>
        <v>1</v>
      </c>
      <c r="C787" s="2">
        <v>45730</v>
      </c>
      <c r="D787" t="s">
        <v>723</v>
      </c>
      <c r="E787" t="s">
        <v>18</v>
      </c>
      <c r="F787" t="s">
        <v>19</v>
      </c>
      <c r="G787" t="s">
        <v>25</v>
      </c>
      <c r="H787" t="s">
        <v>26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Q787">
        <v>55.7</v>
      </c>
    </row>
    <row r="788" spans="1:17">
      <c r="A788" t="s">
        <v>819</v>
      </c>
      <c r="B788">
        <f>COUNTIF($A$2:A788,A788)</f>
        <v>1</v>
      </c>
      <c r="C788" s="2">
        <v>45768</v>
      </c>
      <c r="D788" t="s">
        <v>723</v>
      </c>
      <c r="E788" t="s">
        <v>18</v>
      </c>
      <c r="F788" t="s">
        <v>24</v>
      </c>
      <c r="G788" t="s">
        <v>25</v>
      </c>
      <c r="H788" t="s">
        <v>26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Q788">
        <v>84.9</v>
      </c>
    </row>
    <row r="789" spans="1:17">
      <c r="A789" t="s">
        <v>820</v>
      </c>
      <c r="B789">
        <f>COUNTIF($A$2:A789,A789)</f>
        <v>1</v>
      </c>
      <c r="C789" s="2">
        <v>45702</v>
      </c>
      <c r="D789" t="s">
        <v>723</v>
      </c>
      <c r="E789" t="s">
        <v>18</v>
      </c>
      <c r="F789" t="s">
        <v>24</v>
      </c>
      <c r="G789" t="s">
        <v>25</v>
      </c>
      <c r="H789" t="s">
        <v>26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Q789">
        <v>63.3</v>
      </c>
    </row>
    <row r="790" spans="1:17">
      <c r="A790" t="s">
        <v>821</v>
      </c>
      <c r="B790">
        <f>COUNTIF($A$2:A790,A790)</f>
        <v>1</v>
      </c>
      <c r="C790" s="2">
        <v>45807</v>
      </c>
      <c r="D790" t="s">
        <v>723</v>
      </c>
      <c r="E790" t="s">
        <v>23</v>
      </c>
      <c r="F790" t="s">
        <v>24</v>
      </c>
      <c r="G790" t="s">
        <v>25</v>
      </c>
      <c r="H790" t="s">
        <v>26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Q790">
        <v>53.1</v>
      </c>
    </row>
    <row r="791" spans="1:17">
      <c r="A791" t="s">
        <v>822</v>
      </c>
      <c r="B791">
        <f>COUNTIF($A$2:A791,A791)</f>
        <v>1</v>
      </c>
      <c r="C791" s="2">
        <v>45677</v>
      </c>
      <c r="D791" t="s">
        <v>723</v>
      </c>
      <c r="E791" t="s">
        <v>23</v>
      </c>
      <c r="F791" t="s">
        <v>24</v>
      </c>
      <c r="G791" t="s">
        <v>25</v>
      </c>
      <c r="H791" t="s">
        <v>26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Q791">
        <v>66</v>
      </c>
    </row>
    <row r="792" spans="1:17">
      <c r="A792" t="s">
        <v>823</v>
      </c>
      <c r="B792">
        <f>COUNTIF($A$2:A792,A792)</f>
        <v>1</v>
      </c>
      <c r="C792" s="2">
        <v>45733</v>
      </c>
      <c r="D792" t="s">
        <v>723</v>
      </c>
      <c r="E792" t="s">
        <v>23</v>
      </c>
      <c r="F792" t="s">
        <v>24</v>
      </c>
      <c r="G792" t="s">
        <v>41</v>
      </c>
      <c r="H792" t="s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Q792">
        <v>54.7</v>
      </c>
    </row>
    <row r="793" spans="1:17">
      <c r="A793" t="s">
        <v>824</v>
      </c>
      <c r="B793">
        <f>COUNTIF($A$2:A793,A793)</f>
        <v>1</v>
      </c>
      <c r="C793" s="2">
        <v>45720</v>
      </c>
      <c r="D793" t="s">
        <v>723</v>
      </c>
      <c r="E793" t="s">
        <v>23</v>
      </c>
      <c r="F793" t="s">
        <v>24</v>
      </c>
      <c r="G793" t="s">
        <v>41</v>
      </c>
      <c r="H793" t="s">
        <v>26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Q793">
        <v>41.2</v>
      </c>
    </row>
    <row r="794" spans="1:17">
      <c r="A794" t="s">
        <v>825</v>
      </c>
      <c r="B794">
        <f>COUNTIF($A$2:A794,A794)</f>
        <v>1</v>
      </c>
      <c r="C794" s="2">
        <v>45710</v>
      </c>
      <c r="D794" t="s">
        <v>723</v>
      </c>
      <c r="E794" t="s">
        <v>32</v>
      </c>
      <c r="F794" t="s">
        <v>24</v>
      </c>
      <c r="G794" t="s">
        <v>25</v>
      </c>
      <c r="H794" t="s">
        <v>30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Q794">
        <v>66.7</v>
      </c>
    </row>
    <row r="795" spans="1:17">
      <c r="A795" t="s">
        <v>826</v>
      </c>
      <c r="B795">
        <f>COUNTIF($A$2:A795,A795)</f>
        <v>1</v>
      </c>
      <c r="C795" s="2">
        <v>45779</v>
      </c>
      <c r="D795" t="s">
        <v>723</v>
      </c>
      <c r="E795" t="s">
        <v>18</v>
      </c>
      <c r="F795" t="s">
        <v>24</v>
      </c>
      <c r="G795" t="s">
        <v>29</v>
      </c>
      <c r="H795" t="s">
        <v>30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Q795">
        <v>39.4</v>
      </c>
    </row>
    <row r="796" spans="1:17">
      <c r="A796" t="s">
        <v>827</v>
      </c>
      <c r="B796">
        <f>COUNTIF($A$2:A796,A796)</f>
        <v>1</v>
      </c>
      <c r="C796" s="2">
        <v>45729</v>
      </c>
      <c r="D796" t="s">
        <v>723</v>
      </c>
      <c r="E796" t="s">
        <v>23</v>
      </c>
      <c r="F796" t="s">
        <v>19</v>
      </c>
      <c r="G796" t="s">
        <v>25</v>
      </c>
      <c r="H796" t="s">
        <v>30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</v>
      </c>
      <c r="O796">
        <v>0</v>
      </c>
      <c r="Q796">
        <v>67</v>
      </c>
    </row>
    <row r="797" spans="1:17">
      <c r="A797" t="s">
        <v>828</v>
      </c>
      <c r="B797">
        <f>COUNTIF($A$2:A797,A797)</f>
        <v>1</v>
      </c>
      <c r="C797" s="2">
        <v>45808</v>
      </c>
      <c r="D797" t="s">
        <v>723</v>
      </c>
      <c r="E797" t="s">
        <v>32</v>
      </c>
      <c r="F797" t="s">
        <v>24</v>
      </c>
      <c r="G797" t="s">
        <v>25</v>
      </c>
      <c r="H797" t="s">
        <v>21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Q797">
        <v>50.4</v>
      </c>
    </row>
    <row r="798" spans="1:17">
      <c r="A798" t="s">
        <v>829</v>
      </c>
      <c r="B798">
        <f>COUNTIF($A$2:A798,A798)</f>
        <v>1</v>
      </c>
      <c r="C798" s="2">
        <v>45723</v>
      </c>
      <c r="D798" t="s">
        <v>723</v>
      </c>
      <c r="E798" t="s">
        <v>23</v>
      </c>
      <c r="F798" t="s">
        <v>19</v>
      </c>
      <c r="G798" t="s">
        <v>41</v>
      </c>
      <c r="H798" t="s">
        <v>26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Q798">
        <v>53.8</v>
      </c>
    </row>
    <row r="799" spans="1:17">
      <c r="A799" t="s">
        <v>830</v>
      </c>
      <c r="B799">
        <f>COUNTIF($A$2:A799,A799)</f>
        <v>1</v>
      </c>
      <c r="C799" s="2">
        <v>45710</v>
      </c>
      <c r="D799" t="s">
        <v>723</v>
      </c>
      <c r="E799" t="s">
        <v>23</v>
      </c>
      <c r="F799" t="s">
        <v>24</v>
      </c>
      <c r="G799" t="s">
        <v>29</v>
      </c>
      <c r="H799" t="s">
        <v>21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Q799">
        <v>82.7</v>
      </c>
    </row>
    <row r="800" spans="1:17">
      <c r="A800" t="s">
        <v>831</v>
      </c>
      <c r="B800">
        <f>COUNTIF($A$2:A800,A800)</f>
        <v>1</v>
      </c>
      <c r="C800" s="2">
        <v>45662</v>
      </c>
      <c r="D800" t="s">
        <v>723</v>
      </c>
      <c r="E800" t="s">
        <v>23</v>
      </c>
      <c r="F800" t="s">
        <v>19</v>
      </c>
      <c r="G800" t="s">
        <v>29</v>
      </c>
      <c r="H800" t="s">
        <v>26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Q800">
        <v>63.9</v>
      </c>
    </row>
    <row r="801" spans="1:17">
      <c r="A801" t="s">
        <v>832</v>
      </c>
      <c r="B801">
        <f>COUNTIF($A$2:A801,A801)</f>
        <v>1</v>
      </c>
      <c r="C801" s="2">
        <v>45678</v>
      </c>
      <c r="D801" t="s">
        <v>723</v>
      </c>
      <c r="E801" t="s">
        <v>23</v>
      </c>
      <c r="F801" t="s">
        <v>24</v>
      </c>
      <c r="G801" t="s">
        <v>39</v>
      </c>
      <c r="H801" t="s">
        <v>26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Q801">
        <v>61.9</v>
      </c>
    </row>
    <row r="802" spans="1:17">
      <c r="A802" t="s">
        <v>833</v>
      </c>
      <c r="B802">
        <f>COUNTIF($A$2:A802,A802)</f>
        <v>1</v>
      </c>
      <c r="C802" s="2">
        <v>45682</v>
      </c>
      <c r="D802" t="s">
        <v>723</v>
      </c>
      <c r="E802" t="s">
        <v>18</v>
      </c>
      <c r="F802" t="s">
        <v>19</v>
      </c>
      <c r="G802" t="s">
        <v>41</v>
      </c>
      <c r="H802" t="s">
        <v>26</v>
      </c>
      <c r="I802">
        <v>1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0</v>
      </c>
      <c r="Q802">
        <v>75</v>
      </c>
    </row>
    <row r="803" spans="1:17">
      <c r="A803" t="s">
        <v>834</v>
      </c>
      <c r="B803">
        <f>COUNTIF($A$2:A803,A803)</f>
        <v>1</v>
      </c>
      <c r="C803" s="2">
        <v>45751</v>
      </c>
      <c r="D803" t="s">
        <v>723</v>
      </c>
      <c r="E803" t="s">
        <v>23</v>
      </c>
      <c r="F803" t="s">
        <v>24</v>
      </c>
      <c r="G803" t="s">
        <v>29</v>
      </c>
      <c r="H803" t="s">
        <v>21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0</v>
      </c>
      <c r="Q803">
        <v>43</v>
      </c>
    </row>
    <row r="804" spans="1:17">
      <c r="A804" t="s">
        <v>835</v>
      </c>
      <c r="B804">
        <f>COUNTIF($A$2:A804,A804)</f>
        <v>1</v>
      </c>
      <c r="C804" s="2">
        <v>45741</v>
      </c>
      <c r="D804" t="s">
        <v>723</v>
      </c>
      <c r="E804" t="s">
        <v>18</v>
      </c>
      <c r="F804" t="s">
        <v>19</v>
      </c>
      <c r="G804" t="s">
        <v>41</v>
      </c>
      <c r="H804" t="s">
        <v>30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Q804">
        <v>54.3</v>
      </c>
    </row>
    <row r="805" spans="1:17">
      <c r="A805" t="s">
        <v>836</v>
      </c>
      <c r="B805">
        <f>COUNTIF($A$2:A805,A805)</f>
        <v>1</v>
      </c>
      <c r="C805" s="2">
        <v>45735</v>
      </c>
      <c r="D805" t="s">
        <v>723</v>
      </c>
      <c r="E805" t="s">
        <v>23</v>
      </c>
      <c r="F805" t="s">
        <v>24</v>
      </c>
      <c r="G805" t="s">
        <v>41</v>
      </c>
      <c r="H805" t="s">
        <v>26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</v>
      </c>
      <c r="O805">
        <v>0</v>
      </c>
      <c r="Q805">
        <v>44.3</v>
      </c>
    </row>
    <row r="806" spans="1:17">
      <c r="A806" t="s">
        <v>837</v>
      </c>
      <c r="B806">
        <f>COUNTIF($A$2:A806,A806)</f>
        <v>1</v>
      </c>
      <c r="C806" s="2">
        <v>45771</v>
      </c>
      <c r="D806" t="s">
        <v>723</v>
      </c>
      <c r="E806" t="s">
        <v>23</v>
      </c>
      <c r="F806" t="s">
        <v>19</v>
      </c>
      <c r="G806" t="s">
        <v>25</v>
      </c>
      <c r="H806" t="s">
        <v>26</v>
      </c>
      <c r="I806">
        <v>1</v>
      </c>
      <c r="J806">
        <v>1</v>
      </c>
      <c r="K806">
        <v>1</v>
      </c>
      <c r="L806">
        <v>1</v>
      </c>
      <c r="M806">
        <v>402.88</v>
      </c>
      <c r="N806">
        <v>0</v>
      </c>
      <c r="O806">
        <v>0</v>
      </c>
      <c r="P806">
        <v>12</v>
      </c>
      <c r="Q806">
        <v>76</v>
      </c>
    </row>
    <row r="807" spans="1:17">
      <c r="A807" t="s">
        <v>838</v>
      </c>
      <c r="B807">
        <f>COUNTIF($A$2:A807,A807)</f>
        <v>1</v>
      </c>
      <c r="C807" s="2">
        <v>45751</v>
      </c>
      <c r="D807" t="s">
        <v>723</v>
      </c>
      <c r="E807" t="s">
        <v>32</v>
      </c>
      <c r="F807" t="s">
        <v>34</v>
      </c>
      <c r="G807" t="s">
        <v>25</v>
      </c>
      <c r="H807" t="s">
        <v>26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0</v>
      </c>
      <c r="Q807">
        <v>65.3</v>
      </c>
    </row>
    <row r="808" spans="1:17">
      <c r="A808" t="s">
        <v>839</v>
      </c>
      <c r="B808">
        <f>COUNTIF($A$2:A808,A808)</f>
        <v>1</v>
      </c>
      <c r="C808" s="2">
        <v>45744</v>
      </c>
      <c r="D808" t="s">
        <v>723</v>
      </c>
      <c r="E808" t="s">
        <v>32</v>
      </c>
      <c r="F808" t="s">
        <v>19</v>
      </c>
      <c r="G808" t="s">
        <v>29</v>
      </c>
      <c r="H808" t="s">
        <v>30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Q808">
        <v>71.2</v>
      </c>
    </row>
    <row r="809" spans="1:17">
      <c r="A809" t="s">
        <v>840</v>
      </c>
      <c r="B809">
        <f>COUNTIF($A$2:A809,A809)</f>
        <v>1</v>
      </c>
      <c r="C809" s="2">
        <v>45792</v>
      </c>
      <c r="D809" t="s">
        <v>723</v>
      </c>
      <c r="E809" t="s">
        <v>32</v>
      </c>
      <c r="F809" t="s">
        <v>34</v>
      </c>
      <c r="G809" t="s">
        <v>29</v>
      </c>
      <c r="H809" t="s">
        <v>26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Q809">
        <v>77.900000000000006</v>
      </c>
    </row>
    <row r="810" spans="1:17">
      <c r="A810" t="s">
        <v>841</v>
      </c>
      <c r="B810">
        <f>COUNTIF($A$2:A810,A810)</f>
        <v>1</v>
      </c>
      <c r="C810" s="2">
        <v>45729</v>
      </c>
      <c r="D810" t="s">
        <v>723</v>
      </c>
      <c r="E810" t="s">
        <v>23</v>
      </c>
      <c r="F810" t="s">
        <v>24</v>
      </c>
      <c r="G810" t="s">
        <v>29</v>
      </c>
      <c r="H810" t="s">
        <v>26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Q810">
        <v>48.6</v>
      </c>
    </row>
    <row r="811" spans="1:17">
      <c r="A811" t="s">
        <v>842</v>
      </c>
      <c r="B811">
        <f>COUNTIF($A$2:A811,A811)</f>
        <v>1</v>
      </c>
      <c r="C811" s="2">
        <v>45742</v>
      </c>
      <c r="D811" t="s">
        <v>723</v>
      </c>
      <c r="E811" t="s">
        <v>18</v>
      </c>
      <c r="F811" t="s">
        <v>24</v>
      </c>
      <c r="G811" t="s">
        <v>41</v>
      </c>
      <c r="H811" t="s">
        <v>30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Q811">
        <v>61.9</v>
      </c>
    </row>
    <row r="812" spans="1:17">
      <c r="A812" t="s">
        <v>843</v>
      </c>
      <c r="B812">
        <f>COUNTIF($A$2:A812,A812)</f>
        <v>1</v>
      </c>
      <c r="C812" s="2">
        <v>45666</v>
      </c>
      <c r="D812" t="s">
        <v>723</v>
      </c>
      <c r="E812" t="s">
        <v>18</v>
      </c>
      <c r="F812" t="s">
        <v>24</v>
      </c>
      <c r="G812" t="s">
        <v>41</v>
      </c>
      <c r="H812" t="s">
        <v>21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Q812">
        <v>58.7</v>
      </c>
    </row>
    <row r="813" spans="1:17">
      <c r="A813" t="s">
        <v>844</v>
      </c>
      <c r="B813">
        <f>COUNTIF($A$2:A813,A813)</f>
        <v>1</v>
      </c>
      <c r="C813" s="2">
        <v>45783</v>
      </c>
      <c r="D813" t="s">
        <v>723</v>
      </c>
      <c r="E813" t="s">
        <v>32</v>
      </c>
      <c r="F813" t="s">
        <v>19</v>
      </c>
      <c r="G813" t="s">
        <v>29</v>
      </c>
      <c r="H813" t="s">
        <v>26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Q813">
        <v>69.599999999999994</v>
      </c>
    </row>
    <row r="814" spans="1:17">
      <c r="A814" t="s">
        <v>845</v>
      </c>
      <c r="B814">
        <f>COUNTIF($A$2:A814,A814)</f>
        <v>1</v>
      </c>
      <c r="C814" s="2">
        <v>45705</v>
      </c>
      <c r="D814" t="s">
        <v>723</v>
      </c>
      <c r="E814" t="s">
        <v>32</v>
      </c>
      <c r="F814" t="s">
        <v>24</v>
      </c>
      <c r="G814" t="s">
        <v>25</v>
      </c>
      <c r="H814" t="s">
        <v>26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Q814">
        <v>51.5</v>
      </c>
    </row>
    <row r="815" spans="1:17">
      <c r="A815" t="s">
        <v>846</v>
      </c>
      <c r="B815">
        <f>COUNTIF($A$2:A815,A815)</f>
        <v>1</v>
      </c>
      <c r="C815" s="2">
        <v>45752</v>
      </c>
      <c r="D815" t="s">
        <v>723</v>
      </c>
      <c r="E815" t="s">
        <v>28</v>
      </c>
      <c r="F815" t="s">
        <v>24</v>
      </c>
      <c r="G815" t="s">
        <v>29</v>
      </c>
      <c r="H815" t="s">
        <v>26</v>
      </c>
      <c r="I815">
        <v>1</v>
      </c>
      <c r="J815">
        <v>1</v>
      </c>
      <c r="K815">
        <v>1</v>
      </c>
      <c r="L815">
        <v>1</v>
      </c>
      <c r="M815">
        <v>277.69</v>
      </c>
      <c r="N815">
        <v>3</v>
      </c>
      <c r="O815">
        <v>0</v>
      </c>
      <c r="P815">
        <v>8</v>
      </c>
      <c r="Q815">
        <v>46</v>
      </c>
    </row>
    <row r="816" spans="1:17">
      <c r="A816" t="s">
        <v>847</v>
      </c>
      <c r="B816">
        <f>COUNTIF($A$2:A816,A816)</f>
        <v>1</v>
      </c>
      <c r="C816" s="2">
        <v>45760</v>
      </c>
      <c r="D816" t="s">
        <v>723</v>
      </c>
      <c r="E816" t="s">
        <v>23</v>
      </c>
      <c r="F816" t="s">
        <v>34</v>
      </c>
      <c r="G816" t="s">
        <v>25</v>
      </c>
      <c r="H816" t="s">
        <v>26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Q816">
        <v>81.7</v>
      </c>
    </row>
    <row r="817" spans="1:17">
      <c r="A817" t="s">
        <v>848</v>
      </c>
      <c r="B817">
        <f>COUNTIF($A$2:A817,A817)</f>
        <v>1</v>
      </c>
      <c r="C817" s="2">
        <v>45797</v>
      </c>
      <c r="D817" t="s">
        <v>723</v>
      </c>
      <c r="E817" t="s">
        <v>28</v>
      </c>
      <c r="F817" t="s">
        <v>19</v>
      </c>
      <c r="G817" t="s">
        <v>39</v>
      </c>
      <c r="H817" t="s">
        <v>26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Q817">
        <v>48.3</v>
      </c>
    </row>
    <row r="818" spans="1:17">
      <c r="A818" t="s">
        <v>849</v>
      </c>
      <c r="B818">
        <f>COUNTIF($A$2:A818,A818)</f>
        <v>1</v>
      </c>
      <c r="C818" s="2">
        <v>45747</v>
      </c>
      <c r="D818" t="s">
        <v>723</v>
      </c>
      <c r="E818" t="s">
        <v>28</v>
      </c>
      <c r="F818" t="s">
        <v>24</v>
      </c>
      <c r="G818" t="s">
        <v>20</v>
      </c>
      <c r="H818" t="s">
        <v>26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Q818">
        <v>85.6</v>
      </c>
    </row>
    <row r="819" spans="1:17">
      <c r="A819" t="s">
        <v>850</v>
      </c>
      <c r="B819">
        <f>COUNTIF($A$2:A819,A819)</f>
        <v>1</v>
      </c>
      <c r="C819" s="2">
        <v>45750</v>
      </c>
      <c r="D819" t="s">
        <v>723</v>
      </c>
      <c r="E819" t="s">
        <v>23</v>
      </c>
      <c r="F819" t="s">
        <v>34</v>
      </c>
      <c r="G819" t="s">
        <v>29</v>
      </c>
      <c r="H819" t="s">
        <v>21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Q819">
        <v>53.8</v>
      </c>
    </row>
    <row r="820" spans="1:17">
      <c r="A820" t="s">
        <v>851</v>
      </c>
      <c r="B820">
        <f>COUNTIF($A$2:A820,A820)</f>
        <v>1</v>
      </c>
      <c r="C820" s="2">
        <v>45692</v>
      </c>
      <c r="D820" t="s">
        <v>723</v>
      </c>
      <c r="E820" t="s">
        <v>32</v>
      </c>
      <c r="F820" t="s">
        <v>24</v>
      </c>
      <c r="G820" t="s">
        <v>25</v>
      </c>
      <c r="H820" t="s">
        <v>26</v>
      </c>
      <c r="I820">
        <v>1</v>
      </c>
      <c r="J820">
        <v>1</v>
      </c>
      <c r="K820">
        <v>1</v>
      </c>
      <c r="L820">
        <v>1</v>
      </c>
      <c r="M820">
        <v>460.83</v>
      </c>
      <c r="N820">
        <v>2</v>
      </c>
      <c r="O820">
        <v>0</v>
      </c>
      <c r="P820">
        <v>0</v>
      </c>
      <c r="Q820">
        <v>69.7</v>
      </c>
    </row>
    <row r="821" spans="1:17">
      <c r="A821" t="s">
        <v>852</v>
      </c>
      <c r="B821">
        <f>COUNTIF($A$2:A821,A821)</f>
        <v>1</v>
      </c>
      <c r="C821" s="2">
        <v>45796</v>
      </c>
      <c r="D821" t="s">
        <v>723</v>
      </c>
      <c r="E821" t="s">
        <v>28</v>
      </c>
      <c r="F821" t="s">
        <v>24</v>
      </c>
      <c r="G821" t="s">
        <v>25</v>
      </c>
      <c r="H821" t="s">
        <v>26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Q821">
        <v>74.8</v>
      </c>
    </row>
    <row r="822" spans="1:17">
      <c r="A822" t="s">
        <v>853</v>
      </c>
      <c r="B822">
        <f>COUNTIF($A$2:A822,A822)</f>
        <v>1</v>
      </c>
      <c r="C822" s="2">
        <v>45724</v>
      </c>
      <c r="D822" t="s">
        <v>723</v>
      </c>
      <c r="E822" t="s">
        <v>28</v>
      </c>
      <c r="F822" t="s">
        <v>19</v>
      </c>
      <c r="G822" t="s">
        <v>29</v>
      </c>
      <c r="H822" t="s">
        <v>21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Q822">
        <v>87.9</v>
      </c>
    </row>
    <row r="823" spans="1:17">
      <c r="A823" t="s">
        <v>854</v>
      </c>
      <c r="B823">
        <f>COUNTIF($A$2:A823,A823)</f>
        <v>1</v>
      </c>
      <c r="C823" s="2">
        <v>45787</v>
      </c>
      <c r="D823" t="s">
        <v>723</v>
      </c>
      <c r="E823" t="s">
        <v>18</v>
      </c>
      <c r="F823" t="s">
        <v>24</v>
      </c>
      <c r="G823" t="s">
        <v>41</v>
      </c>
      <c r="H823" t="s">
        <v>21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Q823">
        <v>49.1</v>
      </c>
    </row>
    <row r="824" spans="1:17">
      <c r="A824" t="s">
        <v>855</v>
      </c>
      <c r="B824">
        <f>COUNTIF($A$2:A824,A824)</f>
        <v>1</v>
      </c>
      <c r="C824" s="2">
        <v>45659</v>
      </c>
      <c r="D824" t="s">
        <v>723</v>
      </c>
      <c r="E824" t="s">
        <v>28</v>
      </c>
      <c r="F824" t="s">
        <v>19</v>
      </c>
      <c r="G824" t="s">
        <v>41</v>
      </c>
      <c r="H824" t="s">
        <v>21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2</v>
      </c>
      <c r="O824">
        <v>0</v>
      </c>
      <c r="Q824">
        <v>73</v>
      </c>
    </row>
    <row r="825" spans="1:17">
      <c r="A825" t="s">
        <v>856</v>
      </c>
      <c r="B825">
        <f>COUNTIF($A$2:A825,A825)</f>
        <v>1</v>
      </c>
      <c r="C825" s="2">
        <v>45674</v>
      </c>
      <c r="D825" t="s">
        <v>723</v>
      </c>
      <c r="E825" t="s">
        <v>23</v>
      </c>
      <c r="F825" t="s">
        <v>24</v>
      </c>
      <c r="G825" t="s">
        <v>25</v>
      </c>
      <c r="H825" t="s">
        <v>21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Q825">
        <v>79.5</v>
      </c>
    </row>
    <row r="826" spans="1:17">
      <c r="A826" t="s">
        <v>857</v>
      </c>
      <c r="B826">
        <f>COUNTIF($A$2:A826,A826)</f>
        <v>1</v>
      </c>
      <c r="C826" s="2">
        <v>45798</v>
      </c>
      <c r="D826" t="s">
        <v>723</v>
      </c>
      <c r="E826" t="s">
        <v>23</v>
      </c>
      <c r="F826" t="s">
        <v>24</v>
      </c>
      <c r="G826" t="s">
        <v>39</v>
      </c>
      <c r="H826" t="s">
        <v>21</v>
      </c>
      <c r="I826">
        <v>1</v>
      </c>
      <c r="J826">
        <v>1</v>
      </c>
      <c r="K826">
        <v>1</v>
      </c>
      <c r="L826">
        <v>1</v>
      </c>
      <c r="M826">
        <v>782.23</v>
      </c>
      <c r="N826">
        <v>1</v>
      </c>
      <c r="O826">
        <v>0</v>
      </c>
      <c r="P826">
        <v>6</v>
      </c>
      <c r="Q826">
        <v>93.2</v>
      </c>
    </row>
    <row r="827" spans="1:17">
      <c r="A827" t="s">
        <v>858</v>
      </c>
      <c r="B827">
        <f>COUNTIF($A$2:A827,A827)</f>
        <v>1</v>
      </c>
      <c r="C827" s="2">
        <v>45802</v>
      </c>
      <c r="D827" t="s">
        <v>723</v>
      </c>
      <c r="E827" t="s">
        <v>28</v>
      </c>
      <c r="F827" t="s">
        <v>19</v>
      </c>
      <c r="G827" t="s">
        <v>39</v>
      </c>
      <c r="H827" t="s">
        <v>26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3</v>
      </c>
      <c r="O827">
        <v>0</v>
      </c>
      <c r="Q827">
        <v>77.5</v>
      </c>
    </row>
    <row r="828" spans="1:17">
      <c r="A828" t="s">
        <v>859</v>
      </c>
      <c r="B828">
        <f>COUNTIF($A$2:A828,A828)</f>
        <v>1</v>
      </c>
      <c r="C828" s="2">
        <v>45662</v>
      </c>
      <c r="D828" t="s">
        <v>723</v>
      </c>
      <c r="E828" t="s">
        <v>23</v>
      </c>
      <c r="F828" t="s">
        <v>24</v>
      </c>
      <c r="G828" t="s">
        <v>20</v>
      </c>
      <c r="H828" t="s">
        <v>21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Q828">
        <v>61</v>
      </c>
    </row>
    <row r="829" spans="1:17">
      <c r="A829" t="s">
        <v>860</v>
      </c>
      <c r="B829">
        <f>COUNTIF($A$2:A829,A829)</f>
        <v>1</v>
      </c>
      <c r="C829" s="2">
        <v>45712</v>
      </c>
      <c r="D829" t="s">
        <v>723</v>
      </c>
      <c r="E829" t="s">
        <v>32</v>
      </c>
      <c r="F829" t="s">
        <v>19</v>
      </c>
      <c r="G829" t="s">
        <v>25</v>
      </c>
      <c r="H829" t="s">
        <v>26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Q829">
        <v>64.900000000000006</v>
      </c>
    </row>
    <row r="830" spans="1:17">
      <c r="A830" t="s">
        <v>861</v>
      </c>
      <c r="B830">
        <f>COUNTIF($A$2:A830,A830)</f>
        <v>1</v>
      </c>
      <c r="C830" s="2">
        <v>45678</v>
      </c>
      <c r="D830" t="s">
        <v>723</v>
      </c>
      <c r="E830" t="s">
        <v>28</v>
      </c>
      <c r="F830" t="s">
        <v>24</v>
      </c>
      <c r="G830" t="s">
        <v>29</v>
      </c>
      <c r="H830" t="s">
        <v>21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Q830">
        <v>87.5</v>
      </c>
    </row>
    <row r="831" spans="1:17">
      <c r="A831" t="s">
        <v>862</v>
      </c>
      <c r="B831">
        <f>COUNTIF($A$2:A831,A831)</f>
        <v>1</v>
      </c>
      <c r="C831" s="2">
        <v>45771</v>
      </c>
      <c r="D831" t="s">
        <v>723</v>
      </c>
      <c r="E831" t="s">
        <v>18</v>
      </c>
      <c r="F831" t="s">
        <v>24</v>
      </c>
      <c r="G831" t="s">
        <v>25</v>
      </c>
      <c r="H831" t="s">
        <v>21</v>
      </c>
      <c r="I831">
        <v>1</v>
      </c>
      <c r="J831">
        <v>1</v>
      </c>
      <c r="K831">
        <v>1</v>
      </c>
      <c r="L831">
        <v>1</v>
      </c>
      <c r="M831">
        <v>1171.99</v>
      </c>
      <c r="N831">
        <v>0</v>
      </c>
      <c r="O831">
        <v>0</v>
      </c>
      <c r="P831">
        <v>5</v>
      </c>
      <c r="Q831">
        <v>80.599999999999994</v>
      </c>
    </row>
    <row r="832" spans="1:17">
      <c r="A832" t="s">
        <v>863</v>
      </c>
      <c r="B832">
        <f>COUNTIF($A$2:A832,A832)</f>
        <v>1</v>
      </c>
      <c r="C832" s="2">
        <v>45664</v>
      </c>
      <c r="D832" t="s">
        <v>723</v>
      </c>
      <c r="E832" t="s">
        <v>23</v>
      </c>
      <c r="F832" t="s">
        <v>19</v>
      </c>
      <c r="G832" t="s">
        <v>25</v>
      </c>
      <c r="H832" t="s">
        <v>26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Q832">
        <v>66.900000000000006</v>
      </c>
    </row>
    <row r="833" spans="1:17">
      <c r="A833" t="s">
        <v>864</v>
      </c>
      <c r="B833">
        <f>COUNTIF($A$2:A833,A833)</f>
        <v>1</v>
      </c>
      <c r="C833" s="2">
        <v>45808</v>
      </c>
      <c r="D833" t="s">
        <v>723</v>
      </c>
      <c r="E833" t="s">
        <v>32</v>
      </c>
      <c r="F833" t="s">
        <v>34</v>
      </c>
      <c r="G833" t="s">
        <v>25</v>
      </c>
      <c r="H833" t="s">
        <v>21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0</v>
      </c>
      <c r="Q833">
        <v>58.8</v>
      </c>
    </row>
    <row r="834" spans="1:17">
      <c r="A834" t="s">
        <v>865</v>
      </c>
      <c r="B834">
        <f>COUNTIF($A$2:A834,A834)</f>
        <v>1</v>
      </c>
      <c r="C834" s="2">
        <v>45749</v>
      </c>
      <c r="D834" t="s">
        <v>723</v>
      </c>
      <c r="E834" t="s">
        <v>18</v>
      </c>
      <c r="F834" t="s">
        <v>19</v>
      </c>
      <c r="G834" t="s">
        <v>25</v>
      </c>
      <c r="H834" t="s">
        <v>21</v>
      </c>
      <c r="I834">
        <v>1</v>
      </c>
      <c r="J834">
        <v>1</v>
      </c>
      <c r="K834">
        <v>1</v>
      </c>
      <c r="L834">
        <v>1</v>
      </c>
      <c r="M834">
        <v>1010.4</v>
      </c>
      <c r="N834">
        <v>0</v>
      </c>
      <c r="O834">
        <v>0</v>
      </c>
      <c r="P834">
        <v>4</v>
      </c>
      <c r="Q834">
        <v>42.9</v>
      </c>
    </row>
    <row r="835" spans="1:17">
      <c r="A835" t="s">
        <v>866</v>
      </c>
      <c r="B835">
        <f>COUNTIF($A$2:A835,A835)</f>
        <v>1</v>
      </c>
      <c r="C835" s="2">
        <v>45768</v>
      </c>
      <c r="D835" t="s">
        <v>723</v>
      </c>
      <c r="E835" t="s">
        <v>28</v>
      </c>
      <c r="F835" t="s">
        <v>24</v>
      </c>
      <c r="G835" t="s">
        <v>25</v>
      </c>
      <c r="H835" t="s">
        <v>26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1</v>
      </c>
      <c r="O835">
        <v>0</v>
      </c>
      <c r="Q835">
        <v>60.2</v>
      </c>
    </row>
    <row r="836" spans="1:17">
      <c r="A836" t="s">
        <v>867</v>
      </c>
      <c r="B836">
        <f>COUNTIF($A$2:A836,A836)</f>
        <v>1</v>
      </c>
      <c r="C836" s="2">
        <v>45782</v>
      </c>
      <c r="D836" t="s">
        <v>723</v>
      </c>
      <c r="E836" t="s">
        <v>28</v>
      </c>
      <c r="F836" t="s">
        <v>24</v>
      </c>
      <c r="G836" t="s">
        <v>29</v>
      </c>
      <c r="H836" t="s">
        <v>21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Q836">
        <v>42.7</v>
      </c>
    </row>
    <row r="837" spans="1:17">
      <c r="A837" t="s">
        <v>868</v>
      </c>
      <c r="B837">
        <f>COUNTIF($A$2:A837,A837)</f>
        <v>1</v>
      </c>
      <c r="C837" s="2">
        <v>45663</v>
      </c>
      <c r="D837" t="s">
        <v>723</v>
      </c>
      <c r="E837" t="s">
        <v>18</v>
      </c>
      <c r="F837" t="s">
        <v>19</v>
      </c>
      <c r="G837" t="s">
        <v>41</v>
      </c>
      <c r="H837" t="s">
        <v>26</v>
      </c>
      <c r="I837">
        <v>1</v>
      </c>
      <c r="J837">
        <v>1</v>
      </c>
      <c r="K837">
        <v>1</v>
      </c>
      <c r="L837">
        <v>1</v>
      </c>
      <c r="M837">
        <v>431.27</v>
      </c>
      <c r="N837">
        <v>0</v>
      </c>
      <c r="O837">
        <v>0</v>
      </c>
      <c r="P837">
        <v>7</v>
      </c>
      <c r="Q837">
        <v>60.8</v>
      </c>
    </row>
    <row r="838" spans="1:17">
      <c r="A838" t="s">
        <v>869</v>
      </c>
      <c r="B838">
        <f>COUNTIF($A$2:A838,A838)</f>
        <v>1</v>
      </c>
      <c r="C838" s="2">
        <v>45771</v>
      </c>
      <c r="D838" t="s">
        <v>723</v>
      </c>
      <c r="E838" t="s">
        <v>32</v>
      </c>
      <c r="F838" t="s">
        <v>24</v>
      </c>
      <c r="G838" t="s">
        <v>39</v>
      </c>
      <c r="H838" t="s">
        <v>26</v>
      </c>
      <c r="I838">
        <v>1</v>
      </c>
      <c r="J838">
        <v>1</v>
      </c>
      <c r="K838">
        <v>1</v>
      </c>
      <c r="L838">
        <v>1</v>
      </c>
      <c r="M838">
        <v>428.8</v>
      </c>
      <c r="N838">
        <v>0</v>
      </c>
      <c r="O838">
        <v>0</v>
      </c>
      <c r="P838">
        <v>9</v>
      </c>
      <c r="Q838">
        <v>79.3</v>
      </c>
    </row>
    <row r="839" spans="1:17">
      <c r="A839" t="s">
        <v>870</v>
      </c>
      <c r="B839">
        <f>COUNTIF($A$2:A839,A839)</f>
        <v>1</v>
      </c>
      <c r="C839" s="2">
        <v>45768</v>
      </c>
      <c r="D839" t="s">
        <v>723</v>
      </c>
      <c r="E839" t="s">
        <v>32</v>
      </c>
      <c r="F839" t="s">
        <v>24</v>
      </c>
      <c r="G839" t="s">
        <v>25</v>
      </c>
      <c r="H839" t="s">
        <v>21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Q839">
        <v>88.6</v>
      </c>
    </row>
    <row r="840" spans="1:17">
      <c r="A840" t="s">
        <v>871</v>
      </c>
      <c r="B840">
        <f>COUNTIF($A$2:A840,A840)</f>
        <v>1</v>
      </c>
      <c r="C840" s="2">
        <v>45697</v>
      </c>
      <c r="D840" t="s">
        <v>723</v>
      </c>
      <c r="E840" t="s">
        <v>23</v>
      </c>
      <c r="F840" t="s">
        <v>24</v>
      </c>
      <c r="G840" t="s">
        <v>25</v>
      </c>
      <c r="H840" t="s">
        <v>21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0</v>
      </c>
      <c r="Q840">
        <v>63.1</v>
      </c>
    </row>
    <row r="841" spans="1:17">
      <c r="A841" t="s">
        <v>872</v>
      </c>
      <c r="B841">
        <f>COUNTIF($A$2:A841,A841)</f>
        <v>1</v>
      </c>
      <c r="C841" s="2">
        <v>45666</v>
      </c>
      <c r="D841" t="s">
        <v>723</v>
      </c>
      <c r="E841" t="s">
        <v>28</v>
      </c>
      <c r="F841" t="s">
        <v>24</v>
      </c>
      <c r="G841" t="s">
        <v>25</v>
      </c>
      <c r="H841" t="s">
        <v>30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Q841">
        <v>39.700000000000003</v>
      </c>
    </row>
    <row r="842" spans="1:17">
      <c r="A842" t="s">
        <v>873</v>
      </c>
      <c r="B842">
        <f>COUNTIF($A$2:A842,A842)</f>
        <v>1</v>
      </c>
      <c r="C842" s="2">
        <v>45704</v>
      </c>
      <c r="D842" t="s">
        <v>723</v>
      </c>
      <c r="E842" t="s">
        <v>18</v>
      </c>
      <c r="F842" t="s">
        <v>24</v>
      </c>
      <c r="G842" t="s">
        <v>29</v>
      </c>
      <c r="H842" t="s">
        <v>21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Q842">
        <v>67.2</v>
      </c>
    </row>
    <row r="843" spans="1:17">
      <c r="A843" t="s">
        <v>874</v>
      </c>
      <c r="B843">
        <f>COUNTIF($A$2:A843,A843)</f>
        <v>1</v>
      </c>
      <c r="C843" s="2">
        <v>45709</v>
      </c>
      <c r="D843" t="s">
        <v>723</v>
      </c>
      <c r="E843" t="s">
        <v>32</v>
      </c>
      <c r="F843" t="s">
        <v>24</v>
      </c>
      <c r="G843" t="s">
        <v>25</v>
      </c>
      <c r="H843" t="s">
        <v>26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0</v>
      </c>
      <c r="Q843">
        <v>62.3</v>
      </c>
    </row>
    <row r="844" spans="1:17">
      <c r="A844" t="s">
        <v>875</v>
      </c>
      <c r="B844">
        <f>COUNTIF($A$2:A844,A844)</f>
        <v>1</v>
      </c>
      <c r="C844" s="2">
        <v>45696</v>
      </c>
      <c r="D844" t="s">
        <v>723</v>
      </c>
      <c r="E844" t="s">
        <v>32</v>
      </c>
      <c r="F844" t="s">
        <v>24</v>
      </c>
      <c r="G844" t="s">
        <v>25</v>
      </c>
      <c r="H844" t="s">
        <v>30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7">
      <c r="A845" t="s">
        <v>876</v>
      </c>
      <c r="B845">
        <f>COUNTIF($A$2:A845,A845)</f>
        <v>1</v>
      </c>
      <c r="C845" s="2">
        <v>45679</v>
      </c>
      <c r="D845" t="s">
        <v>723</v>
      </c>
      <c r="E845" t="s">
        <v>32</v>
      </c>
      <c r="F845" t="s">
        <v>24</v>
      </c>
      <c r="G845" t="s">
        <v>29</v>
      </c>
      <c r="H845" t="s">
        <v>30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Q845">
        <v>60.7</v>
      </c>
    </row>
    <row r="846" spans="1:17">
      <c r="A846" t="s">
        <v>877</v>
      </c>
      <c r="B846">
        <f>COUNTIF($A$2:A846,A846)</f>
        <v>1</v>
      </c>
      <c r="C846" s="2">
        <v>45748</v>
      </c>
      <c r="D846" t="s">
        <v>723</v>
      </c>
      <c r="E846" t="s">
        <v>23</v>
      </c>
      <c r="F846" t="s">
        <v>24</v>
      </c>
      <c r="G846" t="s">
        <v>25</v>
      </c>
      <c r="H846" t="s">
        <v>21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Q846">
        <v>61.5</v>
      </c>
    </row>
    <row r="847" spans="1:17">
      <c r="A847" t="s">
        <v>878</v>
      </c>
      <c r="B847">
        <f>COUNTIF($A$2:A847,A847)</f>
        <v>1</v>
      </c>
      <c r="C847" s="2">
        <v>45678</v>
      </c>
      <c r="D847" t="s">
        <v>723</v>
      </c>
      <c r="E847" t="s">
        <v>18</v>
      </c>
      <c r="F847" t="s">
        <v>24</v>
      </c>
      <c r="G847" t="s">
        <v>29</v>
      </c>
      <c r="H847" t="s">
        <v>21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Q847">
        <v>75</v>
      </c>
    </row>
    <row r="848" spans="1:17">
      <c r="A848" t="s">
        <v>879</v>
      </c>
      <c r="B848">
        <f>COUNTIF($A$2:A848,A848)</f>
        <v>1</v>
      </c>
      <c r="C848" s="2">
        <v>45659</v>
      </c>
      <c r="D848" t="s">
        <v>723</v>
      </c>
      <c r="E848" t="s">
        <v>28</v>
      </c>
      <c r="F848" t="s">
        <v>19</v>
      </c>
      <c r="G848" t="s">
        <v>25</v>
      </c>
      <c r="H848" t="s">
        <v>26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Q848">
        <v>51.9</v>
      </c>
    </row>
    <row r="849" spans="1:17">
      <c r="A849" t="s">
        <v>880</v>
      </c>
      <c r="B849">
        <f>COUNTIF($A$2:A849,A849)</f>
        <v>1</v>
      </c>
      <c r="C849" s="2">
        <v>45789</v>
      </c>
      <c r="D849" t="s">
        <v>723</v>
      </c>
      <c r="E849" t="s">
        <v>32</v>
      </c>
      <c r="F849" t="s">
        <v>19</v>
      </c>
      <c r="G849" t="s">
        <v>29</v>
      </c>
      <c r="H849" t="s">
        <v>26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Q849">
        <v>34.5</v>
      </c>
    </row>
    <row r="850" spans="1:17">
      <c r="A850" t="s">
        <v>881</v>
      </c>
      <c r="B850">
        <f>COUNTIF($A$2:A850,A850)</f>
        <v>1</v>
      </c>
      <c r="C850" s="2">
        <v>45721</v>
      </c>
      <c r="D850" t="s">
        <v>723</v>
      </c>
      <c r="E850" t="s">
        <v>32</v>
      </c>
      <c r="F850" t="s">
        <v>24</v>
      </c>
      <c r="G850" t="s">
        <v>41</v>
      </c>
      <c r="H850" t="s">
        <v>21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Q850">
        <v>54.5</v>
      </c>
    </row>
    <row r="851" spans="1:17">
      <c r="A851" t="s">
        <v>882</v>
      </c>
      <c r="B851">
        <f>COUNTIF($A$2:A851,A851)</f>
        <v>1</v>
      </c>
      <c r="C851" s="2">
        <v>45681</v>
      </c>
      <c r="D851" t="s">
        <v>723</v>
      </c>
      <c r="E851" t="s">
        <v>28</v>
      </c>
      <c r="F851" t="s">
        <v>24</v>
      </c>
      <c r="G851" t="s">
        <v>25</v>
      </c>
      <c r="H851" t="s">
        <v>26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Q851">
        <v>46</v>
      </c>
    </row>
    <row r="852" spans="1:17">
      <c r="A852" t="s">
        <v>883</v>
      </c>
      <c r="B852">
        <f>COUNTIF($A$2:A852,A852)</f>
        <v>1</v>
      </c>
      <c r="C852" s="2">
        <v>45688</v>
      </c>
      <c r="D852" t="s">
        <v>723</v>
      </c>
      <c r="E852" t="s">
        <v>28</v>
      </c>
      <c r="F852" t="s">
        <v>19</v>
      </c>
      <c r="G852" t="s">
        <v>20</v>
      </c>
      <c r="H852" t="s">
        <v>26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Q852">
        <v>88.4</v>
      </c>
    </row>
    <row r="853" spans="1:17">
      <c r="A853" t="s">
        <v>884</v>
      </c>
      <c r="B853">
        <f>COUNTIF($A$2:A853,A853)</f>
        <v>1</v>
      </c>
      <c r="C853" s="2">
        <v>45681</v>
      </c>
      <c r="D853" t="s">
        <v>723</v>
      </c>
      <c r="E853" t="s">
        <v>18</v>
      </c>
      <c r="F853" t="s">
        <v>34</v>
      </c>
      <c r="G853" t="s">
        <v>25</v>
      </c>
      <c r="H853" t="s">
        <v>21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Q853">
        <v>69.5</v>
      </c>
    </row>
    <row r="854" spans="1:17">
      <c r="A854" t="s">
        <v>885</v>
      </c>
      <c r="B854">
        <f>COUNTIF($A$2:A854,A854)</f>
        <v>1</v>
      </c>
      <c r="C854" s="2">
        <v>45702</v>
      </c>
      <c r="D854" t="s">
        <v>723</v>
      </c>
      <c r="E854" t="s">
        <v>18</v>
      </c>
      <c r="F854" t="s">
        <v>19</v>
      </c>
      <c r="G854" t="s">
        <v>39</v>
      </c>
      <c r="H854" t="s">
        <v>21</v>
      </c>
      <c r="I854">
        <v>1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Q854">
        <v>74.2</v>
      </c>
    </row>
    <row r="855" spans="1:17">
      <c r="A855" t="s">
        <v>886</v>
      </c>
      <c r="B855">
        <f>COUNTIF($A$2:A855,A855)</f>
        <v>1</v>
      </c>
      <c r="C855" s="2">
        <v>45804</v>
      </c>
      <c r="D855" t="s">
        <v>723</v>
      </c>
      <c r="E855" t="s">
        <v>18</v>
      </c>
      <c r="F855" t="s">
        <v>24</v>
      </c>
      <c r="G855" t="s">
        <v>25</v>
      </c>
      <c r="H855" t="s">
        <v>26</v>
      </c>
      <c r="I855">
        <v>1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0</v>
      </c>
      <c r="Q855">
        <v>72.099999999999994</v>
      </c>
    </row>
    <row r="856" spans="1:17">
      <c r="A856" t="s">
        <v>887</v>
      </c>
      <c r="B856">
        <f>COUNTIF($A$2:A856,A856)</f>
        <v>1</v>
      </c>
      <c r="C856" s="2">
        <v>45716</v>
      </c>
      <c r="D856" t="s">
        <v>723</v>
      </c>
      <c r="E856" t="s">
        <v>18</v>
      </c>
      <c r="F856" t="s">
        <v>24</v>
      </c>
      <c r="G856" t="s">
        <v>29</v>
      </c>
      <c r="H856" t="s">
        <v>26</v>
      </c>
      <c r="I856">
        <v>1</v>
      </c>
      <c r="J856">
        <v>1</v>
      </c>
      <c r="K856">
        <v>1</v>
      </c>
      <c r="L856">
        <v>1</v>
      </c>
      <c r="M856">
        <v>398.33</v>
      </c>
      <c r="N856">
        <v>0</v>
      </c>
      <c r="O856">
        <v>0</v>
      </c>
      <c r="P856">
        <v>5</v>
      </c>
      <c r="Q856">
        <v>85.1</v>
      </c>
    </row>
    <row r="857" spans="1:17">
      <c r="A857" t="s">
        <v>888</v>
      </c>
      <c r="B857">
        <f>COUNTIF($A$2:A857,A857)</f>
        <v>1</v>
      </c>
      <c r="C857" s="2">
        <v>45804</v>
      </c>
      <c r="D857" t="s">
        <v>723</v>
      </c>
      <c r="E857" t="s">
        <v>18</v>
      </c>
      <c r="F857" t="s">
        <v>24</v>
      </c>
      <c r="G857" t="s">
        <v>25</v>
      </c>
      <c r="H857" t="s">
        <v>21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0</v>
      </c>
      <c r="Q857">
        <v>49.5</v>
      </c>
    </row>
    <row r="858" spans="1:17">
      <c r="A858" t="s">
        <v>889</v>
      </c>
      <c r="B858">
        <f>COUNTIF($A$2:A858,A858)</f>
        <v>1</v>
      </c>
      <c r="C858" s="2">
        <v>45794</v>
      </c>
      <c r="D858" t="s">
        <v>723</v>
      </c>
      <c r="E858" t="s">
        <v>32</v>
      </c>
      <c r="F858" t="s">
        <v>24</v>
      </c>
      <c r="G858" t="s">
        <v>29</v>
      </c>
      <c r="H858" t="s">
        <v>30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Q858">
        <v>79</v>
      </c>
    </row>
    <row r="859" spans="1:17">
      <c r="A859" t="s">
        <v>890</v>
      </c>
      <c r="B859">
        <f>COUNTIF($A$2:A859,A859)</f>
        <v>1</v>
      </c>
      <c r="C859" s="2">
        <v>45667</v>
      </c>
      <c r="D859" t="s">
        <v>723</v>
      </c>
      <c r="E859" t="s">
        <v>23</v>
      </c>
      <c r="F859" t="s">
        <v>19</v>
      </c>
      <c r="G859" t="s">
        <v>41</v>
      </c>
      <c r="H859" t="s">
        <v>26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Q859">
        <v>71.8</v>
      </c>
    </row>
    <row r="860" spans="1:17">
      <c r="A860" t="s">
        <v>891</v>
      </c>
      <c r="B860">
        <f>COUNTIF($A$2:A860,A860)</f>
        <v>1</v>
      </c>
      <c r="C860" s="2">
        <v>45769</v>
      </c>
      <c r="D860" t="s">
        <v>723</v>
      </c>
      <c r="E860" t="s">
        <v>18</v>
      </c>
      <c r="F860" t="s">
        <v>24</v>
      </c>
      <c r="G860" t="s">
        <v>20</v>
      </c>
      <c r="H860" t="s">
        <v>21</v>
      </c>
      <c r="I860">
        <v>1</v>
      </c>
      <c r="J860">
        <v>1</v>
      </c>
      <c r="K860">
        <v>1</v>
      </c>
      <c r="L860">
        <v>1</v>
      </c>
      <c r="M860">
        <v>1117.54</v>
      </c>
      <c r="N860">
        <v>0</v>
      </c>
      <c r="O860">
        <v>0</v>
      </c>
      <c r="P860">
        <v>6</v>
      </c>
      <c r="Q860">
        <v>60.4</v>
      </c>
    </row>
    <row r="861" spans="1:17">
      <c r="A861" t="s">
        <v>892</v>
      </c>
      <c r="B861">
        <f>COUNTIF($A$2:A861,A861)</f>
        <v>1</v>
      </c>
      <c r="C861" s="2">
        <v>45718</v>
      </c>
      <c r="D861" t="s">
        <v>723</v>
      </c>
      <c r="E861" t="s">
        <v>32</v>
      </c>
      <c r="F861" t="s">
        <v>19</v>
      </c>
      <c r="G861" t="s">
        <v>25</v>
      </c>
      <c r="H861" t="s">
        <v>21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2</v>
      </c>
      <c r="O861">
        <v>0</v>
      </c>
      <c r="Q861">
        <v>38.299999999999997</v>
      </c>
    </row>
    <row r="862" spans="1:17">
      <c r="A862" t="s">
        <v>893</v>
      </c>
      <c r="B862">
        <f>COUNTIF($A$2:A862,A862)</f>
        <v>1</v>
      </c>
      <c r="C862" s="2">
        <v>45739</v>
      </c>
      <c r="D862" t="s">
        <v>723</v>
      </c>
      <c r="E862" t="s">
        <v>28</v>
      </c>
      <c r="F862" t="s">
        <v>24</v>
      </c>
      <c r="G862" t="s">
        <v>29</v>
      </c>
      <c r="H862" t="s">
        <v>26</v>
      </c>
      <c r="I862">
        <v>1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Q862">
        <v>79.599999999999994</v>
      </c>
    </row>
    <row r="863" spans="1:17">
      <c r="A863" t="s">
        <v>894</v>
      </c>
      <c r="B863">
        <f>COUNTIF($A$2:A863,A863)</f>
        <v>1</v>
      </c>
      <c r="C863" s="2">
        <v>45700</v>
      </c>
      <c r="D863" t="s">
        <v>723</v>
      </c>
      <c r="E863" t="s">
        <v>28</v>
      </c>
      <c r="F863" t="s">
        <v>24</v>
      </c>
      <c r="G863" t="s">
        <v>20</v>
      </c>
      <c r="H863" t="s">
        <v>26</v>
      </c>
      <c r="I863">
        <v>1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0</v>
      </c>
      <c r="Q863">
        <v>71.900000000000006</v>
      </c>
    </row>
    <row r="864" spans="1:17">
      <c r="A864" t="s">
        <v>895</v>
      </c>
      <c r="B864">
        <f>COUNTIF($A$2:A864,A864)</f>
        <v>1</v>
      </c>
      <c r="C864" s="2">
        <v>45780</v>
      </c>
      <c r="D864" t="s">
        <v>723</v>
      </c>
      <c r="E864" t="s">
        <v>32</v>
      </c>
      <c r="F864" t="s">
        <v>24</v>
      </c>
      <c r="G864" t="s">
        <v>39</v>
      </c>
      <c r="H864" t="s">
        <v>21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Q864">
        <v>54.6</v>
      </c>
    </row>
    <row r="865" spans="1:17">
      <c r="A865" t="s">
        <v>896</v>
      </c>
      <c r="B865">
        <f>COUNTIF($A$2:A865,A865)</f>
        <v>1</v>
      </c>
      <c r="C865" s="2">
        <v>45744</v>
      </c>
      <c r="D865" t="s">
        <v>723</v>
      </c>
      <c r="E865" t="s">
        <v>18</v>
      </c>
      <c r="F865" t="s">
        <v>19</v>
      </c>
      <c r="G865" t="s">
        <v>41</v>
      </c>
      <c r="H865" t="s">
        <v>26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3</v>
      </c>
      <c r="O865">
        <v>0</v>
      </c>
      <c r="Q865">
        <v>49.3</v>
      </c>
    </row>
    <row r="866" spans="1:17">
      <c r="A866" t="s">
        <v>897</v>
      </c>
      <c r="B866">
        <f>COUNTIF($A$2:A866,A866)</f>
        <v>1</v>
      </c>
      <c r="C866" s="2">
        <v>45728</v>
      </c>
      <c r="D866" t="s">
        <v>723</v>
      </c>
      <c r="E866" t="s">
        <v>18</v>
      </c>
      <c r="F866" t="s">
        <v>24</v>
      </c>
      <c r="G866" t="s">
        <v>41</v>
      </c>
      <c r="H866" t="s">
        <v>21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Q866">
        <v>66.900000000000006</v>
      </c>
    </row>
    <row r="867" spans="1:17">
      <c r="A867" t="s">
        <v>898</v>
      </c>
      <c r="B867">
        <f>COUNTIF($A$2:A867,A867)</f>
        <v>1</v>
      </c>
      <c r="C867" s="2">
        <v>45774</v>
      </c>
      <c r="D867" t="s">
        <v>723</v>
      </c>
      <c r="E867" t="s">
        <v>28</v>
      </c>
      <c r="F867" t="s">
        <v>24</v>
      </c>
      <c r="G867" t="s">
        <v>29</v>
      </c>
      <c r="H867" t="s">
        <v>26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Q867">
        <v>77.8</v>
      </c>
    </row>
    <row r="868" spans="1:17">
      <c r="A868" t="s">
        <v>899</v>
      </c>
      <c r="B868">
        <f>COUNTIF($A$2:A868,A868)</f>
        <v>1</v>
      </c>
      <c r="C868" s="2">
        <v>45749</v>
      </c>
      <c r="D868" t="s">
        <v>723</v>
      </c>
      <c r="E868" t="s">
        <v>32</v>
      </c>
      <c r="F868" t="s">
        <v>24</v>
      </c>
      <c r="G868" t="s">
        <v>39</v>
      </c>
      <c r="H868" t="s">
        <v>21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Q868">
        <v>63</v>
      </c>
    </row>
    <row r="869" spans="1:17">
      <c r="A869" t="s">
        <v>900</v>
      </c>
      <c r="B869">
        <f>COUNTIF($A$2:A869,A869)</f>
        <v>1</v>
      </c>
      <c r="C869" s="2">
        <v>45768</v>
      </c>
      <c r="D869" t="s">
        <v>723</v>
      </c>
      <c r="E869" t="s">
        <v>18</v>
      </c>
      <c r="F869" t="s">
        <v>24</v>
      </c>
      <c r="G869" t="s">
        <v>41</v>
      </c>
      <c r="H869" t="s">
        <v>26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Q869">
        <v>79.8</v>
      </c>
    </row>
    <row r="870" spans="1:17">
      <c r="A870" t="s">
        <v>901</v>
      </c>
      <c r="B870">
        <f>COUNTIF($A$2:A870,A870)</f>
        <v>1</v>
      </c>
      <c r="C870" s="2">
        <v>45683</v>
      </c>
      <c r="D870" t="s">
        <v>723</v>
      </c>
      <c r="E870" t="s">
        <v>23</v>
      </c>
      <c r="F870" t="s">
        <v>19</v>
      </c>
      <c r="G870" t="s">
        <v>25</v>
      </c>
      <c r="H870" t="s">
        <v>21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Q870">
        <v>69.900000000000006</v>
      </c>
    </row>
    <row r="871" spans="1:17">
      <c r="A871" t="s">
        <v>902</v>
      </c>
      <c r="B871">
        <f>COUNTIF($A$2:A871,A871)</f>
        <v>1</v>
      </c>
      <c r="C871" s="2">
        <v>45663</v>
      </c>
      <c r="D871" t="s">
        <v>723</v>
      </c>
      <c r="E871" t="s">
        <v>23</v>
      </c>
      <c r="F871" t="s">
        <v>24</v>
      </c>
      <c r="G871" t="s">
        <v>25</v>
      </c>
      <c r="H871" t="s">
        <v>26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Q871">
        <v>66.400000000000006</v>
      </c>
    </row>
    <row r="872" spans="1:17">
      <c r="A872" t="s">
        <v>903</v>
      </c>
      <c r="B872">
        <f>COUNTIF($A$2:A872,A872)</f>
        <v>1</v>
      </c>
      <c r="C872" s="2">
        <v>45695</v>
      </c>
      <c r="D872" t="s">
        <v>723</v>
      </c>
      <c r="E872" t="s">
        <v>28</v>
      </c>
      <c r="F872" t="s">
        <v>24</v>
      </c>
      <c r="G872" t="s">
        <v>25</v>
      </c>
      <c r="H872" t="s">
        <v>26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Q872">
        <v>27.6</v>
      </c>
    </row>
    <row r="873" spans="1:17">
      <c r="A873" t="s">
        <v>904</v>
      </c>
      <c r="B873">
        <f>COUNTIF($A$2:A873,A873)</f>
        <v>1</v>
      </c>
      <c r="C873" s="2">
        <v>45784</v>
      </c>
      <c r="D873" t="s">
        <v>723</v>
      </c>
      <c r="E873" t="s">
        <v>23</v>
      </c>
      <c r="F873" t="s">
        <v>24</v>
      </c>
      <c r="G873" t="s">
        <v>25</v>
      </c>
      <c r="H873" t="s">
        <v>30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Q873">
        <v>56.5</v>
      </c>
    </row>
    <row r="874" spans="1:17">
      <c r="A874" t="s">
        <v>905</v>
      </c>
      <c r="B874">
        <f>COUNTIF($A$2:A874,A874)</f>
        <v>1</v>
      </c>
      <c r="C874" s="2">
        <v>45769</v>
      </c>
      <c r="D874" t="s">
        <v>723</v>
      </c>
      <c r="E874" t="s">
        <v>23</v>
      </c>
      <c r="G874" t="s">
        <v>41</v>
      </c>
      <c r="H874" t="s">
        <v>26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Q874">
        <v>67.8</v>
      </c>
    </row>
    <row r="875" spans="1:17">
      <c r="A875" t="s">
        <v>906</v>
      </c>
      <c r="B875">
        <f>COUNTIF($A$2:A875,A875)</f>
        <v>1</v>
      </c>
      <c r="C875" s="2">
        <v>45781</v>
      </c>
      <c r="D875" t="s">
        <v>723</v>
      </c>
      <c r="E875" t="s">
        <v>23</v>
      </c>
      <c r="F875" t="s">
        <v>19</v>
      </c>
      <c r="G875" t="s">
        <v>41</v>
      </c>
      <c r="H875" t="s">
        <v>26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Q875">
        <v>80</v>
      </c>
    </row>
    <row r="876" spans="1:17">
      <c r="A876" t="s">
        <v>907</v>
      </c>
      <c r="B876">
        <f>COUNTIF($A$2:A876,A876)</f>
        <v>1</v>
      </c>
      <c r="C876" s="2">
        <v>45793</v>
      </c>
      <c r="D876" t="s">
        <v>723</v>
      </c>
      <c r="E876" t="s">
        <v>32</v>
      </c>
      <c r="F876" t="s">
        <v>24</v>
      </c>
      <c r="G876" t="s">
        <v>41</v>
      </c>
      <c r="H876" t="s">
        <v>21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1</v>
      </c>
      <c r="O876">
        <v>0</v>
      </c>
      <c r="Q876">
        <v>80.900000000000006</v>
      </c>
    </row>
    <row r="877" spans="1:17">
      <c r="A877" t="s">
        <v>908</v>
      </c>
      <c r="B877">
        <f>COUNTIF($A$2:A877,A877)</f>
        <v>1</v>
      </c>
      <c r="C877" s="2">
        <v>45699</v>
      </c>
      <c r="D877" t="s">
        <v>723</v>
      </c>
      <c r="E877" t="s">
        <v>23</v>
      </c>
      <c r="F877" t="s">
        <v>24</v>
      </c>
      <c r="G877" t="s">
        <v>29</v>
      </c>
      <c r="H877" t="s">
        <v>26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>
        <v>34.5</v>
      </c>
    </row>
    <row r="878" spans="1:17">
      <c r="A878" t="s">
        <v>909</v>
      </c>
      <c r="B878">
        <f>COUNTIF($A$2:A878,A878)</f>
        <v>1</v>
      </c>
      <c r="C878" s="2">
        <v>45786</v>
      </c>
      <c r="D878" t="s">
        <v>723</v>
      </c>
      <c r="E878" t="s">
        <v>28</v>
      </c>
      <c r="F878" t="s">
        <v>19</v>
      </c>
      <c r="G878" t="s">
        <v>25</v>
      </c>
      <c r="H878" t="s">
        <v>30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>
        <v>73.5</v>
      </c>
    </row>
    <row r="879" spans="1:17">
      <c r="A879" t="s">
        <v>910</v>
      </c>
      <c r="B879">
        <f>COUNTIF($A$2:A879,A879)</f>
        <v>1</v>
      </c>
      <c r="C879" s="2">
        <v>45697</v>
      </c>
      <c r="D879" t="s">
        <v>723</v>
      </c>
      <c r="E879" t="s">
        <v>32</v>
      </c>
      <c r="F879" t="s">
        <v>19</v>
      </c>
      <c r="G879" t="s">
        <v>29</v>
      </c>
      <c r="H879" t="s">
        <v>26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Q879">
        <v>70</v>
      </c>
    </row>
    <row r="880" spans="1:17">
      <c r="A880" t="s">
        <v>911</v>
      </c>
      <c r="B880">
        <f>COUNTIF($A$2:A880,A880)</f>
        <v>1</v>
      </c>
      <c r="C880" s="2">
        <v>45799</v>
      </c>
      <c r="D880" t="s">
        <v>723</v>
      </c>
      <c r="E880" t="s">
        <v>23</v>
      </c>
      <c r="F880" t="s">
        <v>24</v>
      </c>
      <c r="G880" t="s">
        <v>41</v>
      </c>
      <c r="H880" t="s">
        <v>21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Q880">
        <v>86.9</v>
      </c>
    </row>
    <row r="881" spans="1:17">
      <c r="A881" t="s">
        <v>912</v>
      </c>
      <c r="B881">
        <f>COUNTIF($A$2:A881,A881)</f>
        <v>1</v>
      </c>
      <c r="C881" s="2">
        <v>45801</v>
      </c>
      <c r="D881" t="s">
        <v>723</v>
      </c>
      <c r="E881" t="s">
        <v>28</v>
      </c>
      <c r="F881" t="s">
        <v>24</v>
      </c>
      <c r="G881" t="s">
        <v>41</v>
      </c>
      <c r="H881" t="s">
        <v>21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Q881">
        <v>66.900000000000006</v>
      </c>
    </row>
    <row r="882" spans="1:17">
      <c r="A882" t="s">
        <v>913</v>
      </c>
      <c r="B882">
        <f>COUNTIF($A$2:A882,A882)</f>
        <v>1</v>
      </c>
      <c r="C882" s="2">
        <v>45774</v>
      </c>
      <c r="D882" t="s">
        <v>723</v>
      </c>
      <c r="E882" t="s">
        <v>32</v>
      </c>
      <c r="F882" t="s">
        <v>19</v>
      </c>
      <c r="G882" t="s">
        <v>41</v>
      </c>
      <c r="H882" t="s">
        <v>21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0</v>
      </c>
      <c r="Q882">
        <v>58.3</v>
      </c>
    </row>
    <row r="883" spans="1:17">
      <c r="A883" t="s">
        <v>914</v>
      </c>
      <c r="B883">
        <f>COUNTIF($A$2:A883,A883)</f>
        <v>1</v>
      </c>
      <c r="C883" s="2">
        <v>45735</v>
      </c>
      <c r="D883" t="s">
        <v>723</v>
      </c>
      <c r="E883" t="s">
        <v>28</v>
      </c>
      <c r="F883" t="s">
        <v>24</v>
      </c>
      <c r="G883" t="s">
        <v>29</v>
      </c>
      <c r="H883" t="s">
        <v>26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Q883">
        <v>45</v>
      </c>
    </row>
    <row r="884" spans="1:17">
      <c r="A884" t="s">
        <v>915</v>
      </c>
      <c r="B884">
        <f>COUNTIF($A$2:A884,A884)</f>
        <v>1</v>
      </c>
      <c r="C884" s="2">
        <v>45797</v>
      </c>
      <c r="D884" t="s">
        <v>723</v>
      </c>
      <c r="E884" t="s">
        <v>32</v>
      </c>
      <c r="F884" t="s">
        <v>24</v>
      </c>
      <c r="G884" t="s">
        <v>25</v>
      </c>
      <c r="H884" t="s">
        <v>30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60.8</v>
      </c>
    </row>
    <row r="885" spans="1:17">
      <c r="A885" t="s">
        <v>916</v>
      </c>
      <c r="B885">
        <f>COUNTIF($A$2:A885,A885)</f>
        <v>1</v>
      </c>
      <c r="C885" s="2">
        <v>45787</v>
      </c>
      <c r="D885" t="s">
        <v>723</v>
      </c>
      <c r="E885" t="s">
        <v>18</v>
      </c>
      <c r="F885" t="s">
        <v>24</v>
      </c>
      <c r="G885" t="s">
        <v>20</v>
      </c>
      <c r="H885" t="s">
        <v>30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4</v>
      </c>
      <c r="O885">
        <v>0</v>
      </c>
      <c r="Q885">
        <v>53.7</v>
      </c>
    </row>
    <row r="886" spans="1:17">
      <c r="A886" t="s">
        <v>917</v>
      </c>
      <c r="B886">
        <f>COUNTIF($A$2:A886,A886)</f>
        <v>1</v>
      </c>
      <c r="C886" s="2">
        <v>45745</v>
      </c>
      <c r="D886" t="s">
        <v>723</v>
      </c>
      <c r="E886" t="s">
        <v>28</v>
      </c>
      <c r="F886" t="s">
        <v>24</v>
      </c>
      <c r="G886" t="s">
        <v>41</v>
      </c>
      <c r="H886" t="s">
        <v>26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0</v>
      </c>
      <c r="O886">
        <v>0</v>
      </c>
      <c r="Q886">
        <v>48.8</v>
      </c>
    </row>
    <row r="887" spans="1:17">
      <c r="A887" t="s">
        <v>918</v>
      </c>
      <c r="B887">
        <f>COUNTIF($A$2:A887,A887)</f>
        <v>1</v>
      </c>
      <c r="C887" s="2">
        <v>45750</v>
      </c>
      <c r="D887" t="s">
        <v>723</v>
      </c>
      <c r="E887" t="s">
        <v>23</v>
      </c>
      <c r="F887" t="s">
        <v>19</v>
      </c>
      <c r="G887" t="s">
        <v>39</v>
      </c>
      <c r="H887" t="s">
        <v>21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Q887">
        <v>52.9</v>
      </c>
    </row>
    <row r="888" spans="1:17">
      <c r="A888" t="s">
        <v>919</v>
      </c>
      <c r="B888">
        <f>COUNTIF($A$2:A888,A888)</f>
        <v>1</v>
      </c>
      <c r="C888" s="2">
        <v>45807</v>
      </c>
      <c r="D888" t="s">
        <v>723</v>
      </c>
      <c r="E888" t="s">
        <v>32</v>
      </c>
      <c r="F888" t="s">
        <v>24</v>
      </c>
      <c r="G888" t="s">
        <v>20</v>
      </c>
      <c r="H888" t="s">
        <v>26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Q888">
        <v>42.4</v>
      </c>
    </row>
    <row r="889" spans="1:17">
      <c r="A889" t="s">
        <v>920</v>
      </c>
      <c r="B889">
        <f>COUNTIF($A$2:A889,A889)</f>
        <v>1</v>
      </c>
      <c r="C889" s="2">
        <v>45753</v>
      </c>
      <c r="D889" t="s">
        <v>723</v>
      </c>
      <c r="E889" t="s">
        <v>28</v>
      </c>
      <c r="F889" t="s">
        <v>19</v>
      </c>
      <c r="G889" t="s">
        <v>20</v>
      </c>
      <c r="H889" t="s">
        <v>26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Q889">
        <v>58.7</v>
      </c>
    </row>
    <row r="890" spans="1:17">
      <c r="A890" t="s">
        <v>921</v>
      </c>
      <c r="B890">
        <f>COUNTIF($A$2:A890,A890)</f>
        <v>1</v>
      </c>
      <c r="C890" s="2">
        <v>45730</v>
      </c>
      <c r="D890" t="s">
        <v>723</v>
      </c>
      <c r="E890" t="s">
        <v>18</v>
      </c>
      <c r="F890" t="s">
        <v>24</v>
      </c>
      <c r="G890" t="s">
        <v>39</v>
      </c>
      <c r="H890" t="s">
        <v>26</v>
      </c>
      <c r="I890">
        <v>1</v>
      </c>
      <c r="J890">
        <v>1</v>
      </c>
      <c r="K890">
        <v>1</v>
      </c>
      <c r="L890">
        <v>1</v>
      </c>
      <c r="M890">
        <v>2064.5500000000002</v>
      </c>
      <c r="N890">
        <v>0</v>
      </c>
      <c r="O890">
        <v>0</v>
      </c>
      <c r="P890">
        <v>1</v>
      </c>
      <c r="Q890">
        <v>67.8</v>
      </c>
    </row>
    <row r="891" spans="1:17">
      <c r="A891" t="s">
        <v>922</v>
      </c>
      <c r="B891">
        <f>COUNTIF($A$2:A891,A891)</f>
        <v>1</v>
      </c>
      <c r="C891" s="2">
        <v>45712</v>
      </c>
      <c r="D891" t="s">
        <v>723</v>
      </c>
      <c r="E891" t="s">
        <v>32</v>
      </c>
      <c r="F891" t="s">
        <v>19</v>
      </c>
      <c r="G891" t="s">
        <v>29</v>
      </c>
      <c r="H891" t="s">
        <v>21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Q891">
        <v>62.6</v>
      </c>
    </row>
    <row r="892" spans="1:17">
      <c r="A892" t="s">
        <v>923</v>
      </c>
      <c r="B892">
        <f>COUNTIF($A$2:A892,A892)</f>
        <v>1</v>
      </c>
      <c r="C892" s="2">
        <v>45720</v>
      </c>
      <c r="D892" t="s">
        <v>723</v>
      </c>
      <c r="E892" t="s">
        <v>23</v>
      </c>
      <c r="F892" t="s">
        <v>24</v>
      </c>
      <c r="G892" t="s">
        <v>20</v>
      </c>
      <c r="H892" t="s">
        <v>21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Q892">
        <v>82.4</v>
      </c>
    </row>
    <row r="893" spans="1:17">
      <c r="A893" t="s">
        <v>924</v>
      </c>
      <c r="B893">
        <f>COUNTIF($A$2:A893,A893)</f>
        <v>1</v>
      </c>
      <c r="C893" s="2">
        <v>45749</v>
      </c>
      <c r="D893" t="s">
        <v>723</v>
      </c>
      <c r="E893" t="s">
        <v>18</v>
      </c>
      <c r="F893" t="s">
        <v>24</v>
      </c>
      <c r="G893" t="s">
        <v>25</v>
      </c>
      <c r="H893" t="s">
        <v>26</v>
      </c>
      <c r="I893">
        <v>1</v>
      </c>
      <c r="J893">
        <v>1</v>
      </c>
      <c r="K893">
        <v>1</v>
      </c>
      <c r="L893">
        <v>0</v>
      </c>
      <c r="M893">
        <v>0</v>
      </c>
      <c r="N893">
        <v>0</v>
      </c>
      <c r="O893">
        <v>0</v>
      </c>
      <c r="Q893">
        <v>50.4</v>
      </c>
    </row>
    <row r="894" spans="1:17">
      <c r="A894" t="s">
        <v>925</v>
      </c>
      <c r="B894">
        <f>COUNTIF($A$2:A894,A894)</f>
        <v>1</v>
      </c>
      <c r="C894" s="2">
        <v>45788</v>
      </c>
      <c r="D894" t="s">
        <v>723</v>
      </c>
      <c r="E894" t="s">
        <v>18</v>
      </c>
      <c r="F894" t="s">
        <v>24</v>
      </c>
      <c r="G894" t="s">
        <v>20</v>
      </c>
      <c r="H894" t="s">
        <v>30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Q894">
        <v>68.400000000000006</v>
      </c>
    </row>
    <row r="895" spans="1:17">
      <c r="A895" t="s">
        <v>926</v>
      </c>
      <c r="B895">
        <f>COUNTIF($A$2:A895,A895)</f>
        <v>1</v>
      </c>
      <c r="C895" s="2">
        <v>45787</v>
      </c>
      <c r="D895" t="s">
        <v>723</v>
      </c>
      <c r="E895" t="s">
        <v>23</v>
      </c>
      <c r="F895" t="s">
        <v>34</v>
      </c>
      <c r="G895" t="s">
        <v>29</v>
      </c>
      <c r="H895" t="s">
        <v>21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Q895">
        <v>58.8</v>
      </c>
    </row>
    <row r="896" spans="1:17">
      <c r="A896" t="s">
        <v>927</v>
      </c>
      <c r="B896">
        <f>COUNTIF($A$2:A896,A896)</f>
        <v>1</v>
      </c>
      <c r="C896" s="2">
        <v>45783</v>
      </c>
      <c r="D896" t="s">
        <v>723</v>
      </c>
      <c r="E896" t="s">
        <v>23</v>
      </c>
      <c r="F896" t="s">
        <v>24</v>
      </c>
      <c r="G896" t="s">
        <v>39</v>
      </c>
      <c r="H896" t="s">
        <v>26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2</v>
      </c>
      <c r="O896">
        <v>0</v>
      </c>
      <c r="Q896">
        <v>28.3</v>
      </c>
    </row>
    <row r="897" spans="1:17">
      <c r="A897" t="s">
        <v>928</v>
      </c>
      <c r="B897">
        <f>COUNTIF($A$2:A897,A897)</f>
        <v>1</v>
      </c>
      <c r="C897" s="2">
        <v>45699</v>
      </c>
      <c r="D897" t="s">
        <v>723</v>
      </c>
      <c r="E897" t="s">
        <v>23</v>
      </c>
      <c r="F897" t="s">
        <v>19</v>
      </c>
      <c r="G897" t="s">
        <v>29</v>
      </c>
      <c r="H897" t="s">
        <v>26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Q897">
        <v>44.1</v>
      </c>
    </row>
    <row r="898" spans="1:17">
      <c r="A898" t="s">
        <v>929</v>
      </c>
      <c r="B898">
        <f>COUNTIF($A$2:A898,A898)</f>
        <v>1</v>
      </c>
      <c r="C898" s="2">
        <v>45786</v>
      </c>
      <c r="D898" t="s">
        <v>723</v>
      </c>
      <c r="E898" t="s">
        <v>32</v>
      </c>
      <c r="F898" t="s">
        <v>24</v>
      </c>
      <c r="G898" t="s">
        <v>29</v>
      </c>
      <c r="H898" t="s">
        <v>30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Q898">
        <v>66.7</v>
      </c>
    </row>
    <row r="899" spans="1:17">
      <c r="A899" t="s">
        <v>930</v>
      </c>
      <c r="B899">
        <f>COUNTIF($A$2:A899,A899)</f>
        <v>1</v>
      </c>
      <c r="C899" s="2">
        <v>45690</v>
      </c>
      <c r="D899" t="s">
        <v>723</v>
      </c>
      <c r="E899" t="s">
        <v>32</v>
      </c>
      <c r="F899" t="s">
        <v>24</v>
      </c>
      <c r="H899" t="s">
        <v>26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Q899">
        <v>100</v>
      </c>
    </row>
    <row r="900" spans="1:17">
      <c r="A900" t="s">
        <v>931</v>
      </c>
      <c r="B900">
        <f>COUNTIF($A$2:A900,A900)</f>
        <v>1</v>
      </c>
      <c r="C900" s="2">
        <v>45750</v>
      </c>
      <c r="D900" t="s">
        <v>723</v>
      </c>
      <c r="E900" t="s">
        <v>32</v>
      </c>
      <c r="F900" t="s">
        <v>24</v>
      </c>
      <c r="G900" t="s">
        <v>41</v>
      </c>
      <c r="H900" t="s">
        <v>26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Q900">
        <v>87.5</v>
      </c>
    </row>
    <row r="901" spans="1:17">
      <c r="A901" t="s">
        <v>932</v>
      </c>
      <c r="B901">
        <f>COUNTIF($A$2:A901,A901)</f>
        <v>1</v>
      </c>
      <c r="C901" s="2">
        <v>45703</v>
      </c>
      <c r="D901" t="s">
        <v>723</v>
      </c>
      <c r="E901" t="s">
        <v>18</v>
      </c>
      <c r="F901" t="s">
        <v>19</v>
      </c>
      <c r="G901" t="s">
        <v>25</v>
      </c>
      <c r="H901" t="s">
        <v>21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2</v>
      </c>
      <c r="O901">
        <v>0</v>
      </c>
      <c r="Q901">
        <v>65.400000000000006</v>
      </c>
    </row>
    <row r="902" spans="1:17">
      <c r="A902" t="s">
        <v>933</v>
      </c>
      <c r="B902">
        <f>COUNTIF($A$2:A902,A902)</f>
        <v>1</v>
      </c>
      <c r="C902" s="2">
        <v>45765</v>
      </c>
      <c r="D902" t="s">
        <v>723</v>
      </c>
      <c r="E902" t="s">
        <v>32</v>
      </c>
      <c r="F902" t="s">
        <v>19</v>
      </c>
      <c r="G902" t="s">
        <v>25</v>
      </c>
      <c r="H902" t="s">
        <v>26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Q902">
        <v>22.9</v>
      </c>
    </row>
    <row r="903" spans="1:17">
      <c r="A903" t="s">
        <v>934</v>
      </c>
      <c r="B903">
        <f>COUNTIF($A$2:A903,A903)</f>
        <v>1</v>
      </c>
      <c r="C903" s="2">
        <v>45730</v>
      </c>
      <c r="D903" t="s">
        <v>723</v>
      </c>
      <c r="E903" t="s">
        <v>23</v>
      </c>
      <c r="F903" t="s">
        <v>19</v>
      </c>
      <c r="G903" t="s">
        <v>25</v>
      </c>
      <c r="H903" t="s">
        <v>30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Q903">
        <v>64.599999999999994</v>
      </c>
    </row>
    <row r="904" spans="1:17">
      <c r="A904" t="s">
        <v>935</v>
      </c>
      <c r="B904">
        <f>COUNTIF($A$2:A904,A904)</f>
        <v>1</v>
      </c>
      <c r="C904" s="2">
        <v>45745</v>
      </c>
      <c r="D904" t="s">
        <v>723</v>
      </c>
      <c r="E904" t="s">
        <v>32</v>
      </c>
      <c r="F904" t="s">
        <v>24</v>
      </c>
      <c r="G904" t="s">
        <v>39</v>
      </c>
      <c r="H904" t="s">
        <v>26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2</v>
      </c>
      <c r="O904">
        <v>0</v>
      </c>
      <c r="Q904">
        <v>54.4</v>
      </c>
    </row>
    <row r="905" spans="1:17">
      <c r="A905" t="s">
        <v>936</v>
      </c>
      <c r="B905">
        <f>COUNTIF($A$2:A905,A905)</f>
        <v>1</v>
      </c>
      <c r="C905" s="2">
        <v>45701</v>
      </c>
      <c r="D905" t="s">
        <v>723</v>
      </c>
      <c r="E905" t="s">
        <v>18</v>
      </c>
      <c r="F905" t="s">
        <v>19</v>
      </c>
      <c r="G905" t="s">
        <v>25</v>
      </c>
      <c r="H905" t="s">
        <v>26</v>
      </c>
      <c r="I905">
        <v>1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Q905">
        <v>56.8</v>
      </c>
    </row>
    <row r="906" spans="1:17">
      <c r="A906" t="s">
        <v>937</v>
      </c>
      <c r="B906">
        <f>COUNTIF($A$2:A906,A906)</f>
        <v>1</v>
      </c>
      <c r="C906" s="2">
        <v>45680</v>
      </c>
      <c r="D906" t="s">
        <v>723</v>
      </c>
      <c r="E906" t="s">
        <v>32</v>
      </c>
      <c r="F906" t="s">
        <v>24</v>
      </c>
      <c r="G906" t="s">
        <v>29</v>
      </c>
      <c r="H906" t="s">
        <v>26</v>
      </c>
      <c r="I906">
        <v>1</v>
      </c>
      <c r="J906">
        <v>1</v>
      </c>
      <c r="K906">
        <v>1</v>
      </c>
      <c r="L906">
        <v>1</v>
      </c>
      <c r="M906">
        <v>341.38</v>
      </c>
      <c r="N906">
        <v>0</v>
      </c>
      <c r="O906">
        <v>0</v>
      </c>
      <c r="P906">
        <v>2</v>
      </c>
      <c r="Q906">
        <v>63.6</v>
      </c>
    </row>
    <row r="907" spans="1:17">
      <c r="A907" t="s">
        <v>938</v>
      </c>
      <c r="B907">
        <f>COUNTIF($A$2:A907,A907)</f>
        <v>1</v>
      </c>
      <c r="C907" s="2">
        <v>45712</v>
      </c>
      <c r="D907" t="s">
        <v>723</v>
      </c>
      <c r="E907" t="s">
        <v>28</v>
      </c>
      <c r="F907" t="s">
        <v>24</v>
      </c>
      <c r="G907" t="s">
        <v>41</v>
      </c>
      <c r="H907" t="s">
        <v>26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Q907">
        <v>58.2</v>
      </c>
    </row>
    <row r="908" spans="1:17">
      <c r="A908" t="s">
        <v>939</v>
      </c>
      <c r="B908">
        <f>COUNTIF($A$2:A908,A908)</f>
        <v>1</v>
      </c>
      <c r="C908" s="2">
        <v>45716</v>
      </c>
      <c r="D908" t="s">
        <v>723</v>
      </c>
      <c r="E908" t="s">
        <v>23</v>
      </c>
      <c r="F908" t="s">
        <v>24</v>
      </c>
      <c r="G908" t="s">
        <v>29</v>
      </c>
      <c r="H908" t="s">
        <v>26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Q908">
        <v>54.6</v>
      </c>
    </row>
    <row r="909" spans="1:17">
      <c r="A909" t="s">
        <v>940</v>
      </c>
      <c r="B909">
        <f>COUNTIF($A$2:A909,A909)</f>
        <v>1</v>
      </c>
      <c r="C909" s="2">
        <v>45664</v>
      </c>
      <c r="D909" t="s">
        <v>723</v>
      </c>
      <c r="E909" t="s">
        <v>23</v>
      </c>
      <c r="F909" t="s">
        <v>34</v>
      </c>
      <c r="G909" t="s">
        <v>25</v>
      </c>
      <c r="H909" t="s">
        <v>21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Q909">
        <v>81.900000000000006</v>
      </c>
    </row>
    <row r="910" spans="1:17">
      <c r="A910" t="s">
        <v>941</v>
      </c>
      <c r="B910">
        <f>COUNTIF($A$2:A910,A910)</f>
        <v>1</v>
      </c>
      <c r="C910" s="2">
        <v>45737</v>
      </c>
      <c r="D910" t="s">
        <v>723</v>
      </c>
      <c r="E910" t="s">
        <v>23</v>
      </c>
      <c r="F910" t="s">
        <v>19</v>
      </c>
      <c r="G910" t="s">
        <v>20</v>
      </c>
      <c r="H910" t="s">
        <v>26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3</v>
      </c>
      <c r="O910">
        <v>0</v>
      </c>
      <c r="Q910">
        <v>53.3</v>
      </c>
    </row>
    <row r="911" spans="1:17">
      <c r="A911" t="s">
        <v>942</v>
      </c>
      <c r="B911">
        <f>COUNTIF($A$2:A911,A911)</f>
        <v>1</v>
      </c>
      <c r="C911" s="2">
        <v>45706</v>
      </c>
      <c r="D911" t="s">
        <v>723</v>
      </c>
      <c r="E911" t="s">
        <v>18</v>
      </c>
      <c r="F911" t="s">
        <v>19</v>
      </c>
      <c r="G911" t="s">
        <v>25</v>
      </c>
      <c r="H911" t="s">
        <v>21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Q911">
        <v>54.2</v>
      </c>
    </row>
    <row r="912" spans="1:17">
      <c r="A912" t="s">
        <v>943</v>
      </c>
      <c r="B912">
        <f>COUNTIF($A$2:A912,A912)</f>
        <v>1</v>
      </c>
      <c r="C912" s="2">
        <v>45662</v>
      </c>
      <c r="D912" t="s">
        <v>723</v>
      </c>
      <c r="E912" t="s">
        <v>18</v>
      </c>
      <c r="F912" t="s">
        <v>24</v>
      </c>
      <c r="G912" t="s">
        <v>29</v>
      </c>
      <c r="H912" t="s">
        <v>26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Q912">
        <v>65.599999999999994</v>
      </c>
    </row>
    <row r="913" spans="1:17">
      <c r="A913" t="s">
        <v>944</v>
      </c>
      <c r="B913">
        <f>COUNTIF($A$2:A913,A913)</f>
        <v>1</v>
      </c>
      <c r="C913" s="2">
        <v>45727</v>
      </c>
      <c r="D913" t="s">
        <v>723</v>
      </c>
      <c r="E913" t="s">
        <v>28</v>
      </c>
      <c r="F913" t="s">
        <v>19</v>
      </c>
      <c r="G913" t="s">
        <v>25</v>
      </c>
      <c r="H913" t="s">
        <v>21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Q913">
        <v>56.5</v>
      </c>
    </row>
    <row r="914" spans="1:17">
      <c r="A914" t="s">
        <v>945</v>
      </c>
      <c r="B914">
        <f>COUNTIF($A$2:A914,A914)</f>
        <v>1</v>
      </c>
      <c r="C914" s="2">
        <v>45666</v>
      </c>
      <c r="D914" t="s">
        <v>723</v>
      </c>
      <c r="E914" t="s">
        <v>18</v>
      </c>
      <c r="F914" t="s">
        <v>19</v>
      </c>
      <c r="G914" t="s">
        <v>25</v>
      </c>
      <c r="H914" t="s">
        <v>21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Q914">
        <v>59.7</v>
      </c>
    </row>
    <row r="915" spans="1:17">
      <c r="A915" t="s">
        <v>946</v>
      </c>
      <c r="B915">
        <f>COUNTIF($A$2:A915,A915)</f>
        <v>1</v>
      </c>
      <c r="C915" s="2">
        <v>45665</v>
      </c>
      <c r="D915" t="s">
        <v>723</v>
      </c>
      <c r="E915" t="s">
        <v>32</v>
      </c>
      <c r="F915" t="s">
        <v>24</v>
      </c>
      <c r="G915" t="s">
        <v>25</v>
      </c>
      <c r="H915" t="s">
        <v>26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Q915">
        <v>72.5</v>
      </c>
    </row>
    <row r="916" spans="1:17">
      <c r="A916" t="s">
        <v>947</v>
      </c>
      <c r="B916">
        <f>COUNTIF($A$2:A916,A916)</f>
        <v>1</v>
      </c>
      <c r="C916" s="2">
        <v>45778</v>
      </c>
      <c r="D916" t="s">
        <v>723</v>
      </c>
      <c r="E916" t="s">
        <v>28</v>
      </c>
      <c r="F916" t="s">
        <v>19</v>
      </c>
      <c r="G916" t="s">
        <v>29</v>
      </c>
      <c r="H916" t="s">
        <v>26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Q916">
        <v>64.3</v>
      </c>
    </row>
    <row r="917" spans="1:17">
      <c r="A917" t="s">
        <v>948</v>
      </c>
      <c r="B917">
        <f>COUNTIF($A$2:A917,A917)</f>
        <v>1</v>
      </c>
      <c r="C917" s="2">
        <v>45719</v>
      </c>
      <c r="D917" t="s">
        <v>723</v>
      </c>
      <c r="E917" t="s">
        <v>32</v>
      </c>
      <c r="F917" t="s">
        <v>24</v>
      </c>
      <c r="G917" t="s">
        <v>41</v>
      </c>
      <c r="H917" t="s">
        <v>26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Q917">
        <v>64.5</v>
      </c>
    </row>
    <row r="918" spans="1:17">
      <c r="A918" t="s">
        <v>949</v>
      </c>
      <c r="B918">
        <f>COUNTIF($A$2:A918,A918)</f>
        <v>1</v>
      </c>
      <c r="C918" s="2">
        <v>45711</v>
      </c>
      <c r="D918" t="s">
        <v>723</v>
      </c>
      <c r="E918" t="s">
        <v>23</v>
      </c>
      <c r="F918" t="s">
        <v>19</v>
      </c>
      <c r="G918" t="s">
        <v>41</v>
      </c>
      <c r="H918" t="s">
        <v>21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Q918">
        <v>70.599999999999994</v>
      </c>
    </row>
    <row r="919" spans="1:17">
      <c r="A919" t="s">
        <v>950</v>
      </c>
      <c r="B919">
        <f>COUNTIF($A$2:A919,A919)</f>
        <v>1</v>
      </c>
      <c r="C919" s="2">
        <v>45705</v>
      </c>
      <c r="D919" t="s">
        <v>723</v>
      </c>
      <c r="E919" t="s">
        <v>32</v>
      </c>
      <c r="F919" t="s">
        <v>19</v>
      </c>
      <c r="G919" t="s">
        <v>25</v>
      </c>
      <c r="H919" t="s">
        <v>21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Q919">
        <v>58.4</v>
      </c>
    </row>
    <row r="920" spans="1:17">
      <c r="A920" t="s">
        <v>951</v>
      </c>
      <c r="B920">
        <f>COUNTIF($A$2:A920,A920)</f>
        <v>1</v>
      </c>
      <c r="C920" s="2">
        <v>45798</v>
      </c>
      <c r="D920" t="s">
        <v>723</v>
      </c>
      <c r="E920" t="s">
        <v>28</v>
      </c>
      <c r="F920" t="s">
        <v>24</v>
      </c>
      <c r="G920" t="s">
        <v>25</v>
      </c>
      <c r="H920" t="s">
        <v>21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Q920">
        <v>56.6</v>
      </c>
    </row>
    <row r="921" spans="1:17">
      <c r="A921" t="s">
        <v>952</v>
      </c>
      <c r="B921">
        <f>COUNTIF($A$2:A921,A921)</f>
        <v>1</v>
      </c>
      <c r="C921" s="2">
        <v>45687</v>
      </c>
      <c r="D921" t="s">
        <v>723</v>
      </c>
      <c r="E921" t="s">
        <v>32</v>
      </c>
      <c r="F921" t="s">
        <v>24</v>
      </c>
      <c r="G921" t="s">
        <v>25</v>
      </c>
      <c r="H921" t="s">
        <v>26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Q921">
        <v>61.8</v>
      </c>
    </row>
    <row r="922" spans="1:17">
      <c r="A922" t="s">
        <v>953</v>
      </c>
      <c r="B922">
        <f>COUNTIF($A$2:A922,A922)</f>
        <v>1</v>
      </c>
      <c r="C922" s="2">
        <v>45736</v>
      </c>
      <c r="D922" t="s">
        <v>723</v>
      </c>
      <c r="E922" t="s">
        <v>23</v>
      </c>
      <c r="F922" t="s">
        <v>24</v>
      </c>
      <c r="G922" t="s">
        <v>20</v>
      </c>
      <c r="H922" t="s">
        <v>26</v>
      </c>
      <c r="I922">
        <v>1</v>
      </c>
      <c r="J922">
        <v>1</v>
      </c>
      <c r="K922">
        <v>1</v>
      </c>
      <c r="L922">
        <v>1</v>
      </c>
      <c r="M922">
        <v>513.52</v>
      </c>
      <c r="N922">
        <v>0</v>
      </c>
      <c r="O922">
        <v>0</v>
      </c>
      <c r="P922">
        <v>8</v>
      </c>
      <c r="Q922">
        <v>43.4</v>
      </c>
    </row>
    <row r="923" spans="1:17">
      <c r="A923" t="s">
        <v>954</v>
      </c>
      <c r="B923">
        <f>COUNTIF($A$2:A923,A923)</f>
        <v>1</v>
      </c>
      <c r="C923" s="2">
        <v>45757</v>
      </c>
      <c r="D923" t="s">
        <v>723</v>
      </c>
      <c r="E923" t="s">
        <v>23</v>
      </c>
      <c r="F923" t="s">
        <v>34</v>
      </c>
      <c r="G923" t="s">
        <v>29</v>
      </c>
      <c r="H923" t="s">
        <v>26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Q923">
        <v>43</v>
      </c>
    </row>
    <row r="924" spans="1:17">
      <c r="A924" t="s">
        <v>955</v>
      </c>
      <c r="B924">
        <f>COUNTIF($A$2:A924,A924)</f>
        <v>1</v>
      </c>
      <c r="C924" s="2">
        <v>45723</v>
      </c>
      <c r="D924" t="s">
        <v>723</v>
      </c>
      <c r="E924" t="s">
        <v>18</v>
      </c>
      <c r="F924" t="s">
        <v>19</v>
      </c>
      <c r="G924" t="s">
        <v>25</v>
      </c>
      <c r="H924" t="s">
        <v>26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0</v>
      </c>
      <c r="Q924">
        <v>51.1</v>
      </c>
    </row>
    <row r="925" spans="1:17">
      <c r="A925" t="s">
        <v>956</v>
      </c>
      <c r="B925">
        <f>COUNTIF($A$2:A925,A925)</f>
        <v>1</v>
      </c>
      <c r="C925" s="2">
        <v>45728</v>
      </c>
      <c r="D925" t="s">
        <v>723</v>
      </c>
      <c r="E925" t="s">
        <v>23</v>
      </c>
      <c r="F925" t="s">
        <v>24</v>
      </c>
      <c r="G925" t="s">
        <v>20</v>
      </c>
      <c r="H925" t="s">
        <v>21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Q925">
        <v>48.8</v>
      </c>
    </row>
    <row r="926" spans="1:17">
      <c r="A926" t="s">
        <v>957</v>
      </c>
      <c r="B926">
        <f>COUNTIF($A$2:A926,A926)</f>
        <v>1</v>
      </c>
      <c r="C926" s="2">
        <v>45712</v>
      </c>
      <c r="D926" t="s">
        <v>723</v>
      </c>
      <c r="E926" t="s">
        <v>28</v>
      </c>
      <c r="F926" t="s">
        <v>24</v>
      </c>
      <c r="G926" t="s">
        <v>39</v>
      </c>
      <c r="H926" t="s">
        <v>26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Q926">
        <v>73.2</v>
      </c>
    </row>
    <row r="927" spans="1:17">
      <c r="A927" t="s">
        <v>958</v>
      </c>
      <c r="B927">
        <f>COUNTIF($A$2:A927,A927)</f>
        <v>1</v>
      </c>
      <c r="C927" s="2">
        <v>45672</v>
      </c>
      <c r="D927" t="s">
        <v>723</v>
      </c>
      <c r="E927" t="s">
        <v>28</v>
      </c>
      <c r="F927" t="s">
        <v>24</v>
      </c>
      <c r="G927" t="s">
        <v>39</v>
      </c>
      <c r="H927" t="s">
        <v>26</v>
      </c>
      <c r="I927">
        <v>1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Q927">
        <v>80</v>
      </c>
    </row>
    <row r="928" spans="1:17">
      <c r="A928" t="s">
        <v>959</v>
      </c>
      <c r="B928">
        <f>COUNTIF($A$2:A928,A928)</f>
        <v>1</v>
      </c>
      <c r="C928" s="2">
        <v>45664</v>
      </c>
      <c r="D928" t="s">
        <v>723</v>
      </c>
      <c r="E928" t="s">
        <v>18</v>
      </c>
      <c r="F928" t="s">
        <v>19</v>
      </c>
      <c r="G928" t="s">
        <v>29</v>
      </c>
      <c r="H928" t="s">
        <v>26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Q928">
        <v>52.3</v>
      </c>
    </row>
    <row r="929" spans="1:17">
      <c r="A929" t="s">
        <v>960</v>
      </c>
      <c r="B929">
        <f>COUNTIF($A$2:A929,A929)</f>
        <v>1</v>
      </c>
      <c r="C929" s="2">
        <v>45718</v>
      </c>
      <c r="D929" t="s">
        <v>723</v>
      </c>
      <c r="E929" t="s">
        <v>18</v>
      </c>
      <c r="F929" t="s">
        <v>19</v>
      </c>
      <c r="G929" t="s">
        <v>25</v>
      </c>
      <c r="H929" t="s">
        <v>26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Q929">
        <v>49.1</v>
      </c>
    </row>
    <row r="930" spans="1:17">
      <c r="A930" t="s">
        <v>961</v>
      </c>
      <c r="B930">
        <f>COUNTIF($A$2:A930,A930)</f>
        <v>1</v>
      </c>
      <c r="C930" s="2">
        <v>45662</v>
      </c>
      <c r="D930" t="s">
        <v>723</v>
      </c>
      <c r="E930" t="s">
        <v>32</v>
      </c>
      <c r="F930" t="s">
        <v>19</v>
      </c>
      <c r="G930" t="s">
        <v>39</v>
      </c>
      <c r="H930" t="s">
        <v>21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Q930">
        <v>45.3</v>
      </c>
    </row>
    <row r="931" spans="1:17">
      <c r="A931" t="s">
        <v>962</v>
      </c>
      <c r="B931">
        <f>COUNTIF($A$2:A931,A931)</f>
        <v>1</v>
      </c>
      <c r="C931" s="2">
        <v>45719</v>
      </c>
      <c r="D931" t="s">
        <v>723</v>
      </c>
      <c r="E931" t="s">
        <v>32</v>
      </c>
      <c r="F931" t="s">
        <v>24</v>
      </c>
      <c r="G931" t="s">
        <v>25</v>
      </c>
      <c r="H931" t="s">
        <v>26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Q931">
        <v>49.1</v>
      </c>
    </row>
    <row r="932" spans="1:17">
      <c r="A932" t="s">
        <v>963</v>
      </c>
      <c r="B932">
        <f>COUNTIF($A$2:A932,A932)</f>
        <v>1</v>
      </c>
      <c r="C932" s="2">
        <v>45747</v>
      </c>
      <c r="D932" t="s">
        <v>723</v>
      </c>
      <c r="E932" t="s">
        <v>28</v>
      </c>
      <c r="F932" t="s">
        <v>19</v>
      </c>
      <c r="G932" t="s">
        <v>39</v>
      </c>
      <c r="H932" t="s">
        <v>26</v>
      </c>
      <c r="I932">
        <v>1</v>
      </c>
      <c r="J932">
        <v>1</v>
      </c>
      <c r="K932">
        <v>1</v>
      </c>
      <c r="L932">
        <v>1</v>
      </c>
      <c r="M932">
        <v>476.44</v>
      </c>
      <c r="N932">
        <v>0</v>
      </c>
      <c r="O932">
        <v>0</v>
      </c>
      <c r="P932">
        <v>3</v>
      </c>
      <c r="Q932">
        <v>88.6</v>
      </c>
    </row>
    <row r="933" spans="1:17">
      <c r="A933" t="s">
        <v>964</v>
      </c>
      <c r="B933">
        <f>COUNTIF($A$2:A933,A933)</f>
        <v>1</v>
      </c>
      <c r="C933" s="2">
        <v>45671</v>
      </c>
      <c r="D933" t="s">
        <v>723</v>
      </c>
      <c r="E933" t="s">
        <v>28</v>
      </c>
      <c r="F933" t="s">
        <v>19</v>
      </c>
      <c r="G933" t="s">
        <v>29</v>
      </c>
      <c r="H933" t="s">
        <v>30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Q933">
        <v>54.4</v>
      </c>
    </row>
    <row r="934" spans="1:17">
      <c r="A934" t="s">
        <v>965</v>
      </c>
      <c r="B934">
        <f>COUNTIF($A$2:A934,A934)</f>
        <v>1</v>
      </c>
      <c r="C934" s="2">
        <v>45672</v>
      </c>
      <c r="D934" t="s">
        <v>723</v>
      </c>
      <c r="E934" t="s">
        <v>23</v>
      </c>
      <c r="F934" t="s">
        <v>19</v>
      </c>
      <c r="G934" t="s">
        <v>29</v>
      </c>
      <c r="H934" t="s">
        <v>30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Q934">
        <v>72.900000000000006</v>
      </c>
    </row>
    <row r="935" spans="1:17">
      <c r="A935" t="s">
        <v>966</v>
      </c>
      <c r="B935">
        <f>COUNTIF($A$2:A935,A935)</f>
        <v>1</v>
      </c>
      <c r="C935" s="2">
        <v>45772</v>
      </c>
      <c r="D935" t="s">
        <v>723</v>
      </c>
      <c r="E935" t="s">
        <v>23</v>
      </c>
      <c r="F935" t="s">
        <v>19</v>
      </c>
      <c r="G935" t="s">
        <v>25</v>
      </c>
      <c r="H935" t="s">
        <v>26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Q935">
        <v>53.2</v>
      </c>
    </row>
    <row r="936" spans="1:17">
      <c r="A936" t="s">
        <v>967</v>
      </c>
      <c r="B936">
        <f>COUNTIF($A$2:A936,A936)</f>
        <v>1</v>
      </c>
      <c r="C936" s="2">
        <v>45737</v>
      </c>
      <c r="D936" t="s">
        <v>723</v>
      </c>
      <c r="E936" t="s">
        <v>28</v>
      </c>
      <c r="F936" t="s">
        <v>24</v>
      </c>
      <c r="G936" t="s">
        <v>25</v>
      </c>
      <c r="H936" t="s">
        <v>21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Q936">
        <v>48.7</v>
      </c>
    </row>
    <row r="937" spans="1:17">
      <c r="A937" t="s">
        <v>968</v>
      </c>
      <c r="B937">
        <f>COUNTIF($A$2:A937,A937)</f>
        <v>1</v>
      </c>
      <c r="C937" s="2">
        <v>45773</v>
      </c>
      <c r="D937" t="s">
        <v>723</v>
      </c>
      <c r="E937" t="s">
        <v>32</v>
      </c>
      <c r="F937" t="s">
        <v>24</v>
      </c>
      <c r="G937" t="s">
        <v>29</v>
      </c>
      <c r="H937" t="s">
        <v>21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Q937">
        <v>59.9</v>
      </c>
    </row>
    <row r="938" spans="1:17">
      <c r="A938" t="s">
        <v>969</v>
      </c>
      <c r="B938">
        <f>COUNTIF($A$2:A938,A938)</f>
        <v>1</v>
      </c>
      <c r="C938" s="2">
        <v>45798</v>
      </c>
      <c r="D938" t="s">
        <v>723</v>
      </c>
      <c r="E938" t="s">
        <v>32</v>
      </c>
      <c r="F938" t="s">
        <v>19</v>
      </c>
      <c r="H938" t="s">
        <v>21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Q938">
        <v>82</v>
      </c>
    </row>
    <row r="939" spans="1:17">
      <c r="A939" t="s">
        <v>970</v>
      </c>
      <c r="B939">
        <f>COUNTIF($A$2:A939,A939)</f>
        <v>1</v>
      </c>
      <c r="C939" s="2">
        <v>45765</v>
      </c>
      <c r="D939" t="s">
        <v>723</v>
      </c>
      <c r="E939" t="s">
        <v>28</v>
      </c>
      <c r="F939" t="s">
        <v>24</v>
      </c>
      <c r="G939" t="s">
        <v>29</v>
      </c>
      <c r="H939" t="s">
        <v>26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Q939">
        <v>72.099999999999994</v>
      </c>
    </row>
    <row r="940" spans="1:17">
      <c r="A940" t="s">
        <v>971</v>
      </c>
      <c r="B940">
        <f>COUNTIF($A$2:A940,A940)</f>
        <v>1</v>
      </c>
      <c r="C940" s="2">
        <v>45686</v>
      </c>
      <c r="D940" t="s">
        <v>723</v>
      </c>
      <c r="E940" t="s">
        <v>18</v>
      </c>
      <c r="F940" t="s">
        <v>19</v>
      </c>
      <c r="G940" t="s">
        <v>20</v>
      </c>
      <c r="H940" t="s">
        <v>30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Q940">
        <v>68.3</v>
      </c>
    </row>
    <row r="941" spans="1:17">
      <c r="A941" t="s">
        <v>972</v>
      </c>
      <c r="B941">
        <f>COUNTIF($A$2:A941,A941)</f>
        <v>1</v>
      </c>
      <c r="C941" s="2">
        <v>45805</v>
      </c>
      <c r="D941" t="s">
        <v>723</v>
      </c>
      <c r="E941" t="s">
        <v>23</v>
      </c>
      <c r="F941" t="s">
        <v>24</v>
      </c>
      <c r="G941" t="s">
        <v>25</v>
      </c>
      <c r="H941" t="s">
        <v>30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Q941">
        <v>100</v>
      </c>
    </row>
    <row r="942" spans="1:17">
      <c r="A942" t="s">
        <v>973</v>
      </c>
      <c r="B942">
        <f>COUNTIF($A$2:A942,A942)</f>
        <v>1</v>
      </c>
      <c r="C942" s="2">
        <v>45672</v>
      </c>
      <c r="D942" t="s">
        <v>723</v>
      </c>
      <c r="E942" t="s">
        <v>28</v>
      </c>
      <c r="F942" t="s">
        <v>24</v>
      </c>
      <c r="G942" t="s">
        <v>20</v>
      </c>
      <c r="H942" t="s">
        <v>26</v>
      </c>
      <c r="I942">
        <v>1</v>
      </c>
      <c r="J942">
        <v>1</v>
      </c>
      <c r="K942">
        <v>1</v>
      </c>
      <c r="L942">
        <v>0</v>
      </c>
      <c r="M942">
        <v>0</v>
      </c>
      <c r="N942">
        <v>2</v>
      </c>
      <c r="O942">
        <v>0</v>
      </c>
      <c r="Q942">
        <v>76.5</v>
      </c>
    </row>
    <row r="943" spans="1:17">
      <c r="A943" t="s">
        <v>974</v>
      </c>
      <c r="B943">
        <f>COUNTIF($A$2:A943,A943)</f>
        <v>1</v>
      </c>
      <c r="C943" s="2">
        <v>45660</v>
      </c>
      <c r="D943" t="s">
        <v>723</v>
      </c>
      <c r="E943" t="s">
        <v>32</v>
      </c>
      <c r="F943" t="s">
        <v>24</v>
      </c>
      <c r="G943" t="s">
        <v>25</v>
      </c>
      <c r="H943" t="s">
        <v>21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Q943">
        <v>62</v>
      </c>
    </row>
    <row r="944" spans="1:17">
      <c r="A944" t="s">
        <v>975</v>
      </c>
      <c r="B944">
        <f>COUNTIF($A$2:A944,A944)</f>
        <v>1</v>
      </c>
      <c r="C944" s="2">
        <v>45692</v>
      </c>
      <c r="D944" t="s">
        <v>723</v>
      </c>
      <c r="E944" t="s">
        <v>32</v>
      </c>
      <c r="F944" t="s">
        <v>24</v>
      </c>
      <c r="G944" t="s">
        <v>29</v>
      </c>
      <c r="H944" t="s">
        <v>26</v>
      </c>
      <c r="I944">
        <v>1</v>
      </c>
      <c r="J944">
        <v>1</v>
      </c>
      <c r="K944">
        <v>1</v>
      </c>
      <c r="L944">
        <v>1</v>
      </c>
      <c r="M944">
        <v>324.68</v>
      </c>
      <c r="N944">
        <v>1</v>
      </c>
      <c r="O944">
        <v>0</v>
      </c>
      <c r="P944">
        <v>7</v>
      </c>
      <c r="Q944">
        <v>50.1</v>
      </c>
    </row>
    <row r="945" spans="1:17">
      <c r="A945" t="s">
        <v>976</v>
      </c>
      <c r="B945">
        <f>COUNTIF($A$2:A945,A945)</f>
        <v>1</v>
      </c>
      <c r="C945" s="2">
        <v>45710</v>
      </c>
      <c r="D945" t="s">
        <v>723</v>
      </c>
      <c r="E945" t="s">
        <v>32</v>
      </c>
      <c r="F945" t="s">
        <v>24</v>
      </c>
      <c r="G945" t="s">
        <v>39</v>
      </c>
      <c r="H945" t="s">
        <v>30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Q945">
        <v>62.1</v>
      </c>
    </row>
    <row r="946" spans="1:17">
      <c r="A946" t="s">
        <v>977</v>
      </c>
      <c r="B946">
        <f>COUNTIF($A$2:A946,A946)</f>
        <v>1</v>
      </c>
      <c r="C946" s="2">
        <v>45783</v>
      </c>
      <c r="D946" t="s">
        <v>723</v>
      </c>
      <c r="E946" t="s">
        <v>23</v>
      </c>
      <c r="F946" t="s">
        <v>24</v>
      </c>
      <c r="G946" t="s">
        <v>25</v>
      </c>
      <c r="H946" t="s">
        <v>21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Q946">
        <v>49.7</v>
      </c>
    </row>
    <row r="947" spans="1:17">
      <c r="A947" t="s">
        <v>978</v>
      </c>
      <c r="B947">
        <f>COUNTIF($A$2:A947,A947)</f>
        <v>1</v>
      </c>
      <c r="C947" s="2">
        <v>45688</v>
      </c>
      <c r="D947" t="s">
        <v>723</v>
      </c>
      <c r="E947" t="s">
        <v>32</v>
      </c>
      <c r="F947" t="s">
        <v>24</v>
      </c>
      <c r="G947" t="s">
        <v>25</v>
      </c>
      <c r="H947" t="s">
        <v>26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3</v>
      </c>
      <c r="O947">
        <v>0</v>
      </c>
      <c r="Q947">
        <v>71.099999999999994</v>
      </c>
    </row>
    <row r="948" spans="1:17">
      <c r="A948" t="s">
        <v>979</v>
      </c>
      <c r="B948">
        <f>COUNTIF($A$2:A948,A948)</f>
        <v>1</v>
      </c>
      <c r="C948" s="2">
        <v>45706</v>
      </c>
      <c r="D948" t="s">
        <v>723</v>
      </c>
      <c r="E948" t="s">
        <v>18</v>
      </c>
      <c r="F948" t="s">
        <v>24</v>
      </c>
      <c r="G948" t="s">
        <v>41</v>
      </c>
      <c r="H948" t="s">
        <v>21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Q948">
        <v>70.8</v>
      </c>
    </row>
    <row r="949" spans="1:17">
      <c r="A949" t="s">
        <v>980</v>
      </c>
      <c r="B949">
        <f>COUNTIF($A$2:A949,A949)</f>
        <v>1</v>
      </c>
      <c r="C949" s="2">
        <v>45770</v>
      </c>
      <c r="D949" t="s">
        <v>723</v>
      </c>
      <c r="E949" t="s">
        <v>28</v>
      </c>
      <c r="F949" t="s">
        <v>24</v>
      </c>
      <c r="G949" t="s">
        <v>29</v>
      </c>
      <c r="H949" t="s">
        <v>26</v>
      </c>
      <c r="I949">
        <v>1</v>
      </c>
      <c r="J949">
        <v>1</v>
      </c>
      <c r="K949">
        <v>1</v>
      </c>
      <c r="L949">
        <v>1</v>
      </c>
      <c r="M949">
        <v>301.98</v>
      </c>
      <c r="N949">
        <v>0</v>
      </c>
      <c r="O949">
        <v>0</v>
      </c>
      <c r="P949">
        <v>10</v>
      </c>
      <c r="Q949">
        <v>52.2</v>
      </c>
    </row>
    <row r="950" spans="1:17">
      <c r="A950" t="s">
        <v>981</v>
      </c>
      <c r="B950">
        <f>COUNTIF($A$2:A950,A950)</f>
        <v>1</v>
      </c>
      <c r="C950" s="2">
        <v>45694</v>
      </c>
      <c r="D950" t="s">
        <v>723</v>
      </c>
      <c r="E950" t="s">
        <v>18</v>
      </c>
      <c r="F950" t="s">
        <v>24</v>
      </c>
      <c r="G950" t="s">
        <v>25</v>
      </c>
      <c r="H950" t="s">
        <v>26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0</v>
      </c>
      <c r="Q950">
        <v>73</v>
      </c>
    </row>
    <row r="951" spans="1:17">
      <c r="A951" t="s">
        <v>982</v>
      </c>
      <c r="B951">
        <f>COUNTIF($A$2:A951,A951)</f>
        <v>1</v>
      </c>
      <c r="C951" s="2">
        <v>45773</v>
      </c>
      <c r="D951" t="s">
        <v>723</v>
      </c>
      <c r="E951" t="s">
        <v>32</v>
      </c>
      <c r="F951" t="s">
        <v>19</v>
      </c>
      <c r="G951" t="s">
        <v>29</v>
      </c>
      <c r="H951" t="s">
        <v>26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Q951">
        <v>78.2</v>
      </c>
    </row>
    <row r="952" spans="1:17">
      <c r="A952" t="s">
        <v>983</v>
      </c>
      <c r="B952">
        <f>COUNTIF($A$2:A952,A952)</f>
        <v>1</v>
      </c>
      <c r="C952" s="2">
        <v>45746</v>
      </c>
      <c r="D952" t="s">
        <v>723</v>
      </c>
      <c r="E952" t="s">
        <v>23</v>
      </c>
      <c r="F952" t="s">
        <v>19</v>
      </c>
      <c r="G952" t="s">
        <v>29</v>
      </c>
      <c r="H952" t="s">
        <v>21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Q952">
        <v>68.8</v>
      </c>
    </row>
    <row r="953" spans="1:17">
      <c r="A953" t="s">
        <v>984</v>
      </c>
      <c r="B953">
        <f>COUNTIF($A$2:A953,A953)</f>
        <v>1</v>
      </c>
      <c r="C953" s="2">
        <v>45760</v>
      </c>
      <c r="D953" t="s">
        <v>723</v>
      </c>
      <c r="E953" t="s">
        <v>23</v>
      </c>
      <c r="F953" t="s">
        <v>24</v>
      </c>
      <c r="H953" t="s">
        <v>30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Q953">
        <v>57.1</v>
      </c>
    </row>
    <row r="954" spans="1:17">
      <c r="A954" t="s">
        <v>985</v>
      </c>
      <c r="B954">
        <f>COUNTIF($A$2:A954,A954)</f>
        <v>1</v>
      </c>
      <c r="C954" s="2">
        <v>45751</v>
      </c>
      <c r="D954" t="s">
        <v>723</v>
      </c>
      <c r="E954" t="s">
        <v>28</v>
      </c>
      <c r="F954" t="s">
        <v>19</v>
      </c>
      <c r="G954" t="s">
        <v>25</v>
      </c>
      <c r="H954" t="s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Q954">
        <v>74.599999999999994</v>
      </c>
    </row>
    <row r="955" spans="1:17">
      <c r="A955" t="s">
        <v>986</v>
      </c>
      <c r="B955">
        <f>COUNTIF($A$2:A955,A955)</f>
        <v>1</v>
      </c>
      <c r="C955" s="2">
        <v>45750</v>
      </c>
      <c r="D955" t="s">
        <v>723</v>
      </c>
      <c r="E955" t="s">
        <v>18</v>
      </c>
      <c r="F955" t="s">
        <v>19</v>
      </c>
      <c r="G955" t="s">
        <v>39</v>
      </c>
      <c r="H955" t="s">
        <v>26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Q955">
        <v>64.099999999999994</v>
      </c>
    </row>
    <row r="956" spans="1:17">
      <c r="A956" t="s">
        <v>987</v>
      </c>
      <c r="B956">
        <f>COUNTIF($A$2:A956,A956)</f>
        <v>1</v>
      </c>
      <c r="C956" s="2">
        <v>45730</v>
      </c>
      <c r="D956" t="s">
        <v>723</v>
      </c>
      <c r="E956" t="s">
        <v>23</v>
      </c>
      <c r="F956" t="s">
        <v>24</v>
      </c>
      <c r="G956" t="s">
        <v>29</v>
      </c>
      <c r="H956" t="s">
        <v>30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Q956">
        <v>67.3</v>
      </c>
    </row>
    <row r="957" spans="1:17">
      <c r="A957" t="s">
        <v>988</v>
      </c>
      <c r="B957">
        <f>COUNTIF($A$2:A957,A957)</f>
        <v>1</v>
      </c>
      <c r="C957" s="2">
        <v>45671</v>
      </c>
      <c r="D957" t="s">
        <v>723</v>
      </c>
      <c r="E957" t="s">
        <v>23</v>
      </c>
      <c r="F957" t="s">
        <v>24</v>
      </c>
      <c r="G957" t="s">
        <v>39</v>
      </c>
      <c r="H957" t="s">
        <v>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</v>
      </c>
      <c r="O957">
        <v>0</v>
      </c>
      <c r="Q957">
        <v>41</v>
      </c>
    </row>
    <row r="958" spans="1:17">
      <c r="A958" t="s">
        <v>989</v>
      </c>
      <c r="B958">
        <f>COUNTIF($A$2:A958,A958)</f>
        <v>1</v>
      </c>
      <c r="C958" s="2">
        <v>45782</v>
      </c>
      <c r="D958" t="s">
        <v>723</v>
      </c>
      <c r="E958" t="s">
        <v>23</v>
      </c>
      <c r="F958" t="s">
        <v>24</v>
      </c>
      <c r="G958" t="s">
        <v>29</v>
      </c>
      <c r="H958" t="s">
        <v>26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Q958">
        <v>48.1</v>
      </c>
    </row>
    <row r="959" spans="1:17">
      <c r="A959" t="s">
        <v>990</v>
      </c>
      <c r="B959">
        <f>COUNTIF($A$2:A959,A959)</f>
        <v>1</v>
      </c>
      <c r="C959" s="2">
        <v>45779</v>
      </c>
      <c r="D959" t="s">
        <v>723</v>
      </c>
      <c r="E959" t="s">
        <v>23</v>
      </c>
      <c r="F959" t="s">
        <v>19</v>
      </c>
      <c r="G959" t="s">
        <v>41</v>
      </c>
      <c r="H959" t="s">
        <v>26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Q959">
        <v>60.8</v>
      </c>
    </row>
    <row r="960" spans="1:17">
      <c r="A960" t="s">
        <v>991</v>
      </c>
      <c r="B960">
        <f>COUNTIF($A$2:A960,A960)</f>
        <v>1</v>
      </c>
      <c r="C960" s="2">
        <v>45798</v>
      </c>
      <c r="D960" t="s">
        <v>723</v>
      </c>
      <c r="E960" t="s">
        <v>28</v>
      </c>
      <c r="F960" t="s">
        <v>24</v>
      </c>
      <c r="G960" t="s">
        <v>25</v>
      </c>
      <c r="H960" t="s">
        <v>26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Q960">
        <v>63.1</v>
      </c>
    </row>
    <row r="961" spans="1:17">
      <c r="A961" t="s">
        <v>992</v>
      </c>
      <c r="B961">
        <f>COUNTIF($A$2:A961,A961)</f>
        <v>1</v>
      </c>
      <c r="C961" s="2">
        <v>45793</v>
      </c>
      <c r="D961" t="s">
        <v>723</v>
      </c>
      <c r="E961" t="s">
        <v>18</v>
      </c>
      <c r="F961" t="s">
        <v>24</v>
      </c>
      <c r="G961" t="s">
        <v>39</v>
      </c>
      <c r="H961" t="s">
        <v>30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2</v>
      </c>
      <c r="O961">
        <v>0</v>
      </c>
      <c r="Q961">
        <v>49.7</v>
      </c>
    </row>
    <row r="962" spans="1:17">
      <c r="A962" t="s">
        <v>993</v>
      </c>
      <c r="B962">
        <f>COUNTIF($A$2:A962,A962)</f>
        <v>1</v>
      </c>
      <c r="C962" s="2">
        <v>45801</v>
      </c>
      <c r="D962" t="s">
        <v>723</v>
      </c>
      <c r="E962" t="s">
        <v>28</v>
      </c>
      <c r="F962" t="s">
        <v>19</v>
      </c>
      <c r="G962" t="s">
        <v>25</v>
      </c>
      <c r="H962" t="s">
        <v>30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1</v>
      </c>
      <c r="O962">
        <v>0</v>
      </c>
      <c r="Q962">
        <v>83.4</v>
      </c>
    </row>
    <row r="963" spans="1:17">
      <c r="A963" t="s">
        <v>994</v>
      </c>
      <c r="B963">
        <f>COUNTIF($A$2:A963,A963)</f>
        <v>1</v>
      </c>
      <c r="C963" s="2">
        <v>45734</v>
      </c>
      <c r="D963" t="s">
        <v>723</v>
      </c>
      <c r="E963" t="s">
        <v>28</v>
      </c>
      <c r="F963" t="s">
        <v>24</v>
      </c>
      <c r="G963" t="s">
        <v>25</v>
      </c>
      <c r="H963" t="s">
        <v>21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Q963">
        <v>75.900000000000006</v>
      </c>
    </row>
    <row r="964" spans="1:17">
      <c r="A964" t="s">
        <v>995</v>
      </c>
      <c r="B964">
        <f>COUNTIF($A$2:A964,A964)</f>
        <v>1</v>
      </c>
      <c r="C964" s="2">
        <v>45668</v>
      </c>
      <c r="D964" t="s">
        <v>723</v>
      </c>
      <c r="E964" t="s">
        <v>28</v>
      </c>
      <c r="F964" t="s">
        <v>19</v>
      </c>
      <c r="G964" t="s">
        <v>29</v>
      </c>
      <c r="H964" t="s">
        <v>26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Q964">
        <v>71.8</v>
      </c>
    </row>
    <row r="965" spans="1:17">
      <c r="A965" t="s">
        <v>996</v>
      </c>
      <c r="B965">
        <f>COUNTIF($A$2:A965,A965)</f>
        <v>1</v>
      </c>
      <c r="C965" s="2">
        <v>45697</v>
      </c>
      <c r="D965" t="s">
        <v>723</v>
      </c>
      <c r="E965" t="s">
        <v>32</v>
      </c>
      <c r="F965" t="s">
        <v>24</v>
      </c>
      <c r="G965" t="s">
        <v>25</v>
      </c>
      <c r="H965" t="s">
        <v>21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Q965">
        <v>37.9</v>
      </c>
    </row>
    <row r="966" spans="1:17">
      <c r="A966" t="s">
        <v>997</v>
      </c>
      <c r="B966">
        <f>COUNTIF($A$2:A966,A966)</f>
        <v>1</v>
      </c>
      <c r="C966" s="2">
        <v>45717</v>
      </c>
      <c r="D966" t="s">
        <v>723</v>
      </c>
      <c r="E966" t="s">
        <v>18</v>
      </c>
      <c r="F966" t="s">
        <v>19</v>
      </c>
      <c r="G966" t="s">
        <v>41</v>
      </c>
      <c r="H966" t="s">
        <v>26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Q966">
        <v>59.8</v>
      </c>
    </row>
    <row r="967" spans="1:17">
      <c r="A967" t="s">
        <v>998</v>
      </c>
      <c r="B967">
        <f>COUNTIF($A$2:A967,A967)</f>
        <v>1</v>
      </c>
      <c r="C967" s="2">
        <v>45784</v>
      </c>
      <c r="D967" t="s">
        <v>723</v>
      </c>
      <c r="E967" t="s">
        <v>18</v>
      </c>
      <c r="F967" t="s">
        <v>24</v>
      </c>
      <c r="G967" t="s">
        <v>25</v>
      </c>
      <c r="H967" t="s">
        <v>21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Q967">
        <v>66.900000000000006</v>
      </c>
    </row>
    <row r="968" spans="1:17">
      <c r="A968" t="s">
        <v>999</v>
      </c>
      <c r="B968">
        <f>COUNTIF($A$2:A968,A968)</f>
        <v>1</v>
      </c>
      <c r="C968" s="2">
        <v>45707</v>
      </c>
      <c r="D968" t="s">
        <v>723</v>
      </c>
      <c r="E968" t="s">
        <v>32</v>
      </c>
      <c r="F968" t="s">
        <v>19</v>
      </c>
      <c r="H968" t="s">
        <v>26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Q968">
        <v>59</v>
      </c>
    </row>
    <row r="969" spans="1:17">
      <c r="A969" t="s">
        <v>1000</v>
      </c>
      <c r="B969">
        <f>COUNTIF($A$2:A969,A969)</f>
        <v>1</v>
      </c>
      <c r="C969" s="2">
        <v>45714</v>
      </c>
      <c r="D969" t="s">
        <v>723</v>
      </c>
      <c r="E969" t="s">
        <v>23</v>
      </c>
      <c r="F969" t="s">
        <v>24</v>
      </c>
      <c r="G969" t="s">
        <v>25</v>
      </c>
      <c r="H969" t="s">
        <v>30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Q969">
        <v>80.099999999999994</v>
      </c>
    </row>
    <row r="970" spans="1:17">
      <c r="A970" t="s">
        <v>1001</v>
      </c>
      <c r="B970">
        <f>COUNTIF($A$2:A970,A970)</f>
        <v>1</v>
      </c>
      <c r="C970" s="2">
        <v>45739</v>
      </c>
      <c r="D970" t="s">
        <v>723</v>
      </c>
      <c r="E970" t="s">
        <v>32</v>
      </c>
      <c r="F970" t="s">
        <v>24</v>
      </c>
      <c r="G970" t="s">
        <v>41</v>
      </c>
      <c r="H970" t="s">
        <v>26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Q970">
        <v>64.3</v>
      </c>
    </row>
    <row r="971" spans="1:17">
      <c r="A971" t="s">
        <v>1002</v>
      </c>
      <c r="B971">
        <f>COUNTIF($A$2:A971,A971)</f>
        <v>1</v>
      </c>
      <c r="C971" s="2">
        <v>45772</v>
      </c>
      <c r="D971" t="s">
        <v>723</v>
      </c>
      <c r="E971" t="s">
        <v>32</v>
      </c>
      <c r="F971" t="s">
        <v>19</v>
      </c>
      <c r="G971" t="s">
        <v>41</v>
      </c>
      <c r="H971" t="s">
        <v>26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Q971">
        <v>57.4</v>
      </c>
    </row>
    <row r="972" spans="1:17">
      <c r="A972" t="s">
        <v>1003</v>
      </c>
      <c r="B972">
        <f>COUNTIF($A$2:A972,A972)</f>
        <v>1</v>
      </c>
      <c r="C972" s="2">
        <v>45787</v>
      </c>
      <c r="D972" t="s">
        <v>723</v>
      </c>
      <c r="E972" t="s">
        <v>18</v>
      </c>
      <c r="F972" t="s">
        <v>19</v>
      </c>
      <c r="G972" t="s">
        <v>41</v>
      </c>
      <c r="H972" t="s">
        <v>26</v>
      </c>
      <c r="I972">
        <v>1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0</v>
      </c>
      <c r="Q972">
        <v>83.6</v>
      </c>
    </row>
    <row r="973" spans="1:17">
      <c r="A973" t="s">
        <v>1004</v>
      </c>
      <c r="B973">
        <f>COUNTIF($A$2:A973,A973)</f>
        <v>1</v>
      </c>
      <c r="C973" s="2">
        <v>45769</v>
      </c>
      <c r="D973" t="s">
        <v>723</v>
      </c>
      <c r="E973" t="s">
        <v>28</v>
      </c>
      <c r="F973" t="s">
        <v>24</v>
      </c>
      <c r="G973" t="s">
        <v>29</v>
      </c>
      <c r="H973" t="s">
        <v>30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Q973">
        <v>45.8</v>
      </c>
    </row>
    <row r="974" spans="1:17">
      <c r="A974" t="s">
        <v>1005</v>
      </c>
      <c r="B974">
        <f>COUNTIF($A$2:A974,A974)</f>
        <v>1</v>
      </c>
      <c r="C974" s="2">
        <v>45706</v>
      </c>
      <c r="D974" t="s">
        <v>723</v>
      </c>
      <c r="E974" t="s">
        <v>23</v>
      </c>
      <c r="F974" t="s">
        <v>24</v>
      </c>
      <c r="G974" t="s">
        <v>39</v>
      </c>
      <c r="H974" t="s">
        <v>21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Q974">
        <v>64.3</v>
      </c>
    </row>
    <row r="975" spans="1:17">
      <c r="A975" t="s">
        <v>1006</v>
      </c>
      <c r="B975">
        <f>COUNTIF($A$2:A975,A975)</f>
        <v>1</v>
      </c>
      <c r="C975" s="2">
        <v>45683</v>
      </c>
      <c r="D975" t="s">
        <v>723</v>
      </c>
      <c r="E975" t="s">
        <v>32</v>
      </c>
      <c r="F975" t="s">
        <v>24</v>
      </c>
      <c r="G975" t="s">
        <v>29</v>
      </c>
      <c r="H975" t="s">
        <v>30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Q975">
        <v>80.5</v>
      </c>
    </row>
    <row r="976" spans="1:17">
      <c r="A976" t="s">
        <v>1007</v>
      </c>
      <c r="B976">
        <f>COUNTIF($A$2:A976,A976)</f>
        <v>1</v>
      </c>
      <c r="C976" s="2">
        <v>45775</v>
      </c>
      <c r="D976" t="s">
        <v>723</v>
      </c>
      <c r="E976" t="s">
        <v>18</v>
      </c>
      <c r="F976" t="s">
        <v>24</v>
      </c>
      <c r="G976" t="s">
        <v>25</v>
      </c>
      <c r="H976" t="s">
        <v>26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Q976">
        <v>46.3</v>
      </c>
    </row>
    <row r="977" spans="1:17">
      <c r="A977" t="s">
        <v>1008</v>
      </c>
      <c r="B977">
        <f>COUNTIF($A$2:A977,A977)</f>
        <v>1</v>
      </c>
      <c r="C977" s="2">
        <v>45749</v>
      </c>
      <c r="D977" t="s">
        <v>723</v>
      </c>
      <c r="E977" t="s">
        <v>32</v>
      </c>
      <c r="F977" t="s">
        <v>19</v>
      </c>
      <c r="G977" t="s">
        <v>20</v>
      </c>
      <c r="H977" t="s">
        <v>21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Q977">
        <v>71.599999999999994</v>
      </c>
    </row>
    <row r="978" spans="1:17">
      <c r="A978" t="s">
        <v>1009</v>
      </c>
      <c r="B978">
        <f>COUNTIF($A$2:A978,A978)</f>
        <v>1</v>
      </c>
      <c r="C978" s="2">
        <v>45759</v>
      </c>
      <c r="D978" t="s">
        <v>723</v>
      </c>
      <c r="E978" t="s">
        <v>32</v>
      </c>
      <c r="F978" t="s">
        <v>19</v>
      </c>
      <c r="G978" t="s">
        <v>20</v>
      </c>
      <c r="H978" t="s">
        <v>30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Q978">
        <v>57.8</v>
      </c>
    </row>
    <row r="979" spans="1:17">
      <c r="A979" t="s">
        <v>1010</v>
      </c>
      <c r="B979">
        <f>COUNTIF($A$2:A979,A979)</f>
        <v>1</v>
      </c>
      <c r="C979" s="2">
        <v>45660</v>
      </c>
      <c r="D979" t="s">
        <v>723</v>
      </c>
      <c r="E979" t="s">
        <v>23</v>
      </c>
      <c r="F979" t="s">
        <v>19</v>
      </c>
      <c r="G979" t="s">
        <v>20</v>
      </c>
      <c r="H979" t="s">
        <v>21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1</v>
      </c>
      <c r="O979">
        <v>0</v>
      </c>
      <c r="Q979">
        <v>57.8</v>
      </c>
    </row>
    <row r="980" spans="1:17">
      <c r="A980" t="s">
        <v>1011</v>
      </c>
      <c r="B980">
        <f>COUNTIF($A$2:A980,A980)</f>
        <v>1</v>
      </c>
      <c r="C980" s="2">
        <v>45785</v>
      </c>
      <c r="D980" t="s">
        <v>723</v>
      </c>
      <c r="E980" t="s">
        <v>18</v>
      </c>
      <c r="F980" t="s">
        <v>24</v>
      </c>
      <c r="G980" t="s">
        <v>29</v>
      </c>
      <c r="H980" t="s">
        <v>26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Q980">
        <v>38.299999999999997</v>
      </c>
    </row>
    <row r="981" spans="1:17">
      <c r="A981" t="s">
        <v>1012</v>
      </c>
      <c r="B981">
        <f>COUNTIF($A$2:A981,A981)</f>
        <v>1</v>
      </c>
      <c r="C981" s="2">
        <v>45708</v>
      </c>
      <c r="D981" t="s">
        <v>723</v>
      </c>
      <c r="E981" t="s">
        <v>18</v>
      </c>
      <c r="F981" t="s">
        <v>24</v>
      </c>
      <c r="G981" t="s">
        <v>39</v>
      </c>
      <c r="H981" t="s">
        <v>30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Q981">
        <v>66.099999999999994</v>
      </c>
    </row>
    <row r="982" spans="1:17">
      <c r="A982" t="s">
        <v>1013</v>
      </c>
      <c r="B982">
        <f>COUNTIF($A$2:A982,A982)</f>
        <v>1</v>
      </c>
      <c r="C982" s="2">
        <v>45733</v>
      </c>
      <c r="D982" t="s">
        <v>723</v>
      </c>
      <c r="E982" t="s">
        <v>18</v>
      </c>
      <c r="F982" t="s">
        <v>19</v>
      </c>
      <c r="G982" t="s">
        <v>29</v>
      </c>
      <c r="H982" t="s">
        <v>30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Q982">
        <v>66.5</v>
      </c>
    </row>
    <row r="983" spans="1:17">
      <c r="A983" t="s">
        <v>1014</v>
      </c>
      <c r="B983">
        <f>COUNTIF($A$2:A983,A983)</f>
        <v>1</v>
      </c>
      <c r="C983" s="2">
        <v>45757</v>
      </c>
      <c r="D983" t="s">
        <v>723</v>
      </c>
      <c r="E983" t="s">
        <v>32</v>
      </c>
      <c r="F983" t="s">
        <v>19</v>
      </c>
      <c r="G983" t="s">
        <v>20</v>
      </c>
      <c r="H983" t="s">
        <v>26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3</v>
      </c>
      <c r="O983">
        <v>0</v>
      </c>
      <c r="Q983">
        <v>51.5</v>
      </c>
    </row>
    <row r="984" spans="1:17">
      <c r="A984" t="s">
        <v>1015</v>
      </c>
      <c r="B984">
        <f>COUNTIF($A$2:A984,A984)</f>
        <v>1</v>
      </c>
      <c r="C984" s="2">
        <v>45785</v>
      </c>
      <c r="D984" t="s">
        <v>723</v>
      </c>
      <c r="E984" t="s">
        <v>18</v>
      </c>
      <c r="F984" t="s">
        <v>19</v>
      </c>
      <c r="G984" t="s">
        <v>39</v>
      </c>
      <c r="H984" t="s">
        <v>26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Q984">
        <v>59.9</v>
      </c>
    </row>
    <row r="985" spans="1:17">
      <c r="A985" t="s">
        <v>1016</v>
      </c>
      <c r="B985">
        <f>COUNTIF($A$2:A985,A985)</f>
        <v>1</v>
      </c>
      <c r="C985" s="2">
        <v>45766</v>
      </c>
      <c r="D985" t="s">
        <v>723</v>
      </c>
      <c r="E985" t="s">
        <v>23</v>
      </c>
      <c r="F985" t="s">
        <v>24</v>
      </c>
      <c r="G985" t="s">
        <v>29</v>
      </c>
      <c r="H985" t="s">
        <v>21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Q985">
        <v>58.8</v>
      </c>
    </row>
    <row r="986" spans="1:17">
      <c r="A986" t="s">
        <v>1017</v>
      </c>
      <c r="B986">
        <f>COUNTIF($A$2:A986,A986)</f>
        <v>1</v>
      </c>
      <c r="C986" s="2">
        <v>45658</v>
      </c>
      <c r="D986" t="s">
        <v>723</v>
      </c>
      <c r="E986" t="s">
        <v>32</v>
      </c>
      <c r="F986" t="s">
        <v>34</v>
      </c>
      <c r="G986" t="s">
        <v>29</v>
      </c>
      <c r="H986" t="s">
        <v>21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Q986">
        <v>69.599999999999994</v>
      </c>
    </row>
    <row r="987" spans="1:17">
      <c r="A987" t="s">
        <v>1018</v>
      </c>
      <c r="B987">
        <f>COUNTIF($A$2:A987,A987)</f>
        <v>1</v>
      </c>
      <c r="C987" s="2">
        <v>45726</v>
      </c>
      <c r="D987" t="s">
        <v>723</v>
      </c>
      <c r="E987" t="s">
        <v>28</v>
      </c>
      <c r="F987" t="s">
        <v>24</v>
      </c>
      <c r="G987" t="s">
        <v>29</v>
      </c>
      <c r="H987" t="s">
        <v>26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Q987">
        <v>77.5</v>
      </c>
    </row>
    <row r="988" spans="1:17">
      <c r="A988" t="s">
        <v>1019</v>
      </c>
      <c r="B988">
        <f>COUNTIF($A$2:A988,A988)</f>
        <v>1</v>
      </c>
      <c r="C988" s="2">
        <v>45726</v>
      </c>
      <c r="D988" t="s">
        <v>723</v>
      </c>
      <c r="E988" t="s">
        <v>28</v>
      </c>
      <c r="F988" t="s">
        <v>34</v>
      </c>
      <c r="G988" t="s">
        <v>41</v>
      </c>
      <c r="H988" t="s">
        <v>30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2</v>
      </c>
      <c r="O988">
        <v>0</v>
      </c>
      <c r="Q988">
        <v>57.5</v>
      </c>
    </row>
    <row r="989" spans="1:17">
      <c r="A989" t="s">
        <v>1020</v>
      </c>
      <c r="B989">
        <f>COUNTIF($A$2:A989,A989)</f>
        <v>1</v>
      </c>
      <c r="C989" s="2">
        <v>45766</v>
      </c>
      <c r="D989" t="s">
        <v>723</v>
      </c>
      <c r="E989" t="s">
        <v>23</v>
      </c>
      <c r="F989" t="s">
        <v>34</v>
      </c>
      <c r="G989" t="s">
        <v>20</v>
      </c>
      <c r="H989" t="s">
        <v>21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Q989">
        <v>64.2</v>
      </c>
    </row>
    <row r="990" spans="1:17">
      <c r="A990" t="s">
        <v>1021</v>
      </c>
      <c r="B990">
        <f>COUNTIF($A$2:A990,A990)</f>
        <v>1</v>
      </c>
      <c r="C990" s="2">
        <v>45758</v>
      </c>
      <c r="D990" t="s">
        <v>723</v>
      </c>
      <c r="E990" t="s">
        <v>23</v>
      </c>
      <c r="F990" t="s">
        <v>19</v>
      </c>
      <c r="G990" t="s">
        <v>25</v>
      </c>
      <c r="H990" t="s">
        <v>26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Q990">
        <v>60</v>
      </c>
    </row>
    <row r="991" spans="1:17">
      <c r="A991" t="s">
        <v>1022</v>
      </c>
      <c r="B991">
        <f>COUNTIF($A$2:A991,A991)</f>
        <v>1</v>
      </c>
      <c r="C991" s="2">
        <v>45757</v>
      </c>
      <c r="D991" t="s">
        <v>723</v>
      </c>
      <c r="E991" t="s">
        <v>28</v>
      </c>
      <c r="F991" t="s">
        <v>24</v>
      </c>
      <c r="G991" t="s">
        <v>25</v>
      </c>
      <c r="H991" t="s">
        <v>21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Q991">
        <v>43.7</v>
      </c>
    </row>
    <row r="992" spans="1:17">
      <c r="A992" t="s">
        <v>1023</v>
      </c>
      <c r="B992">
        <f>COUNTIF($A$2:A992,A992)</f>
        <v>1</v>
      </c>
      <c r="C992" s="2">
        <v>45670</v>
      </c>
      <c r="D992" t="s">
        <v>723</v>
      </c>
      <c r="E992" t="s">
        <v>23</v>
      </c>
      <c r="F992" t="s">
        <v>19</v>
      </c>
      <c r="G992" t="s">
        <v>41</v>
      </c>
      <c r="H992" t="s">
        <v>26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Q992">
        <v>64.900000000000006</v>
      </c>
    </row>
    <row r="993" spans="1:17">
      <c r="A993" t="s">
        <v>1024</v>
      </c>
      <c r="B993">
        <f>COUNTIF($A$2:A993,A993)</f>
        <v>1</v>
      </c>
      <c r="C993" s="2">
        <v>45744</v>
      </c>
      <c r="D993" t="s">
        <v>723</v>
      </c>
      <c r="E993" t="s">
        <v>32</v>
      </c>
      <c r="F993" t="s">
        <v>19</v>
      </c>
      <c r="G993" t="s">
        <v>25</v>
      </c>
      <c r="H993" t="s">
        <v>26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Q993">
        <v>45.5</v>
      </c>
    </row>
    <row r="994" spans="1:17">
      <c r="A994" t="s">
        <v>1025</v>
      </c>
      <c r="B994">
        <f>COUNTIF($A$2:A994,A994)</f>
        <v>1</v>
      </c>
      <c r="C994" s="2">
        <v>45686</v>
      </c>
      <c r="D994" t="s">
        <v>723</v>
      </c>
      <c r="E994" t="s">
        <v>28</v>
      </c>
      <c r="F994" t="s">
        <v>24</v>
      </c>
      <c r="G994" t="s">
        <v>29</v>
      </c>
      <c r="H994" t="s">
        <v>26</v>
      </c>
      <c r="I994">
        <v>1</v>
      </c>
      <c r="J994">
        <v>1</v>
      </c>
      <c r="K994">
        <v>1</v>
      </c>
      <c r="L994">
        <v>1</v>
      </c>
      <c r="M994">
        <v>1772.97</v>
      </c>
      <c r="N994">
        <v>0</v>
      </c>
      <c r="O994">
        <v>0</v>
      </c>
      <c r="P994">
        <v>8</v>
      </c>
      <c r="Q994">
        <v>61.2</v>
      </c>
    </row>
    <row r="995" spans="1:17">
      <c r="A995" t="s">
        <v>1026</v>
      </c>
      <c r="B995">
        <f>COUNTIF($A$2:A995,A995)</f>
        <v>1</v>
      </c>
      <c r="C995" s="2">
        <v>45743</v>
      </c>
      <c r="D995" t="s">
        <v>723</v>
      </c>
      <c r="E995" t="s">
        <v>32</v>
      </c>
      <c r="F995" t="s">
        <v>24</v>
      </c>
      <c r="G995" t="s">
        <v>39</v>
      </c>
      <c r="H995" t="s">
        <v>26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Q995">
        <v>87.8</v>
      </c>
    </row>
    <row r="996" spans="1:17">
      <c r="A996" t="s">
        <v>1027</v>
      </c>
      <c r="B996">
        <f>COUNTIF($A$2:A996,A996)</f>
        <v>1</v>
      </c>
      <c r="C996" s="2">
        <v>45736</v>
      </c>
      <c r="D996" t="s">
        <v>723</v>
      </c>
      <c r="E996" t="s">
        <v>28</v>
      </c>
      <c r="F996" t="s">
        <v>34</v>
      </c>
      <c r="G996" t="s">
        <v>41</v>
      </c>
      <c r="H996" t="s">
        <v>26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Q996">
        <v>86.4</v>
      </c>
    </row>
    <row r="997" spans="1:17">
      <c r="A997" t="s">
        <v>1028</v>
      </c>
      <c r="B997">
        <f>COUNTIF($A$2:A997,A997)</f>
        <v>1</v>
      </c>
      <c r="C997" s="2">
        <v>45666</v>
      </c>
      <c r="D997" t="s">
        <v>723</v>
      </c>
      <c r="E997" t="s">
        <v>18</v>
      </c>
      <c r="F997" t="s">
        <v>24</v>
      </c>
      <c r="G997" t="s">
        <v>29</v>
      </c>
      <c r="H997" t="s">
        <v>21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Q997">
        <v>71.400000000000006</v>
      </c>
    </row>
    <row r="998" spans="1:17">
      <c r="A998" t="s">
        <v>1029</v>
      </c>
      <c r="B998">
        <f>COUNTIF($A$2:A998,A998)</f>
        <v>1</v>
      </c>
      <c r="C998" s="2">
        <v>45772</v>
      </c>
      <c r="D998" t="s">
        <v>723</v>
      </c>
      <c r="E998" t="s">
        <v>23</v>
      </c>
      <c r="F998" t="s">
        <v>24</v>
      </c>
      <c r="G998" t="s">
        <v>41</v>
      </c>
      <c r="H998" t="s">
        <v>26</v>
      </c>
      <c r="I998">
        <v>1</v>
      </c>
      <c r="J998">
        <v>1</v>
      </c>
      <c r="K998">
        <v>1</v>
      </c>
      <c r="L998">
        <v>1</v>
      </c>
      <c r="M998">
        <v>218.66</v>
      </c>
      <c r="N998">
        <v>0</v>
      </c>
      <c r="O998">
        <v>1</v>
      </c>
      <c r="P998">
        <v>8</v>
      </c>
      <c r="Q998">
        <v>72.2</v>
      </c>
    </row>
    <row r="999" spans="1:17">
      <c r="A999" t="s">
        <v>1030</v>
      </c>
      <c r="B999">
        <f>COUNTIF($A$2:A999,A999)</f>
        <v>1</v>
      </c>
      <c r="C999" s="2">
        <v>45758</v>
      </c>
      <c r="D999" t="s">
        <v>723</v>
      </c>
      <c r="E999" t="s">
        <v>32</v>
      </c>
      <c r="F999" t="s">
        <v>19</v>
      </c>
      <c r="G999" t="s">
        <v>41</v>
      </c>
      <c r="H999" t="s">
        <v>26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Q999">
        <v>51.9</v>
      </c>
    </row>
    <row r="1000" spans="1:17">
      <c r="A1000" t="s">
        <v>1031</v>
      </c>
      <c r="B1000">
        <f>COUNTIF($A$2:A1000,A1000)</f>
        <v>1</v>
      </c>
      <c r="C1000" s="2">
        <v>45693</v>
      </c>
      <c r="D1000" t="s">
        <v>723</v>
      </c>
      <c r="E1000" t="s">
        <v>28</v>
      </c>
      <c r="F1000" t="s">
        <v>24</v>
      </c>
      <c r="G1000" t="s">
        <v>41</v>
      </c>
      <c r="H1000" t="s">
        <v>21</v>
      </c>
      <c r="I1000">
        <v>1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0</v>
      </c>
      <c r="Q1000">
        <v>70.3</v>
      </c>
    </row>
    <row r="1001" spans="1:17">
      <c r="A1001" t="s">
        <v>1032</v>
      </c>
      <c r="B1001">
        <f>COUNTIF($A$2:A1001,A1001)</f>
        <v>1</v>
      </c>
      <c r="C1001" s="2">
        <v>45744</v>
      </c>
      <c r="D1001" t="s">
        <v>723</v>
      </c>
      <c r="E1001" t="s">
        <v>32</v>
      </c>
      <c r="F1001" t="s">
        <v>24</v>
      </c>
      <c r="G1001" t="s">
        <v>41</v>
      </c>
      <c r="H1001" t="s">
        <v>30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Q1001">
        <v>49.2</v>
      </c>
    </row>
    <row r="1002" spans="1:17">
      <c r="A1002" t="s">
        <v>1033</v>
      </c>
      <c r="B1002">
        <f>COUNTIF($A$2:A1002,A1002)</f>
        <v>1</v>
      </c>
      <c r="C1002" s="2">
        <v>45791</v>
      </c>
      <c r="D1002" t="s">
        <v>723</v>
      </c>
      <c r="E1002" t="s">
        <v>32</v>
      </c>
      <c r="F1002" t="s">
        <v>24</v>
      </c>
      <c r="G1002" t="s">
        <v>39</v>
      </c>
      <c r="H1002" t="s">
        <v>26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Q1002">
        <v>52.2</v>
      </c>
    </row>
    <row r="1003" spans="1:17">
      <c r="A1003" t="s">
        <v>1034</v>
      </c>
      <c r="B1003">
        <f>COUNTIF($A$2:A1003,A1003)</f>
        <v>1</v>
      </c>
      <c r="C1003" s="2">
        <v>45726</v>
      </c>
      <c r="D1003" t="s">
        <v>723</v>
      </c>
      <c r="E1003" t="s">
        <v>28</v>
      </c>
      <c r="F1003" t="s">
        <v>24</v>
      </c>
      <c r="G1003" t="s">
        <v>29</v>
      </c>
      <c r="H1003" t="s">
        <v>21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Q1003">
        <v>62.6</v>
      </c>
    </row>
    <row r="1004" spans="1:17">
      <c r="A1004" t="s">
        <v>1035</v>
      </c>
      <c r="B1004">
        <f>COUNTIF($A$2:A1004,A1004)</f>
        <v>1</v>
      </c>
      <c r="C1004" s="2">
        <v>45756</v>
      </c>
      <c r="D1004" t="s">
        <v>723</v>
      </c>
      <c r="E1004" t="s">
        <v>28</v>
      </c>
      <c r="F1004" t="s">
        <v>19</v>
      </c>
      <c r="G1004" t="s">
        <v>29</v>
      </c>
      <c r="H1004" t="s">
        <v>26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Q1004">
        <v>100</v>
      </c>
    </row>
    <row r="1005" spans="1:17">
      <c r="A1005" t="s">
        <v>1036</v>
      </c>
      <c r="B1005">
        <f>COUNTIF($A$2:A1005,A1005)</f>
        <v>1</v>
      </c>
      <c r="C1005" s="2">
        <v>45701</v>
      </c>
      <c r="D1005" t="s">
        <v>723</v>
      </c>
      <c r="E1005" t="s">
        <v>18</v>
      </c>
      <c r="F1005" t="s">
        <v>24</v>
      </c>
      <c r="G1005" t="s">
        <v>39</v>
      </c>
      <c r="H1005" t="s">
        <v>21</v>
      </c>
      <c r="I1005">
        <v>1</v>
      </c>
      <c r="J1005">
        <v>1</v>
      </c>
      <c r="K1005">
        <v>1</v>
      </c>
      <c r="L1005">
        <v>0</v>
      </c>
      <c r="M1005">
        <v>0</v>
      </c>
      <c r="N1005">
        <v>2</v>
      </c>
      <c r="O1005">
        <v>0</v>
      </c>
      <c r="Q1005">
        <v>45.9</v>
      </c>
    </row>
    <row r="1006" spans="1:17">
      <c r="A1006" t="s">
        <v>1037</v>
      </c>
      <c r="B1006">
        <f>COUNTIF($A$2:A1006,A1006)</f>
        <v>1</v>
      </c>
      <c r="C1006" s="2">
        <v>45780</v>
      </c>
      <c r="D1006" t="s">
        <v>723</v>
      </c>
      <c r="E1006" t="s">
        <v>28</v>
      </c>
      <c r="F1006" t="s">
        <v>24</v>
      </c>
      <c r="G1006" t="s">
        <v>20</v>
      </c>
      <c r="H1006" t="s">
        <v>26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0</v>
      </c>
      <c r="Q1006">
        <v>80.7</v>
      </c>
    </row>
    <row r="1007" spans="1:17">
      <c r="A1007" t="s">
        <v>1038</v>
      </c>
      <c r="B1007">
        <f>COUNTIF($A$2:A1007,A1007)</f>
        <v>1</v>
      </c>
      <c r="C1007" s="2">
        <v>45763</v>
      </c>
      <c r="D1007" t="s">
        <v>723</v>
      </c>
      <c r="E1007" t="s">
        <v>32</v>
      </c>
      <c r="F1007" t="s">
        <v>19</v>
      </c>
      <c r="G1007" t="s">
        <v>39</v>
      </c>
      <c r="H1007" t="s">
        <v>30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Q1007">
        <v>51.9</v>
      </c>
    </row>
    <row r="1008" spans="1:17">
      <c r="A1008" t="s">
        <v>1039</v>
      </c>
      <c r="B1008">
        <f>COUNTIF($A$2:A1008,A1008)</f>
        <v>1</v>
      </c>
      <c r="C1008" s="2">
        <v>45777</v>
      </c>
      <c r="D1008" t="s">
        <v>723</v>
      </c>
      <c r="E1008" t="s">
        <v>18</v>
      </c>
      <c r="F1008" t="s">
        <v>24</v>
      </c>
      <c r="G1008" t="s">
        <v>29</v>
      </c>
      <c r="H1008" t="s">
        <v>30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Q1008">
        <v>68.900000000000006</v>
      </c>
    </row>
    <row r="1009" spans="1:17">
      <c r="A1009" t="s">
        <v>1040</v>
      </c>
      <c r="B1009">
        <f>COUNTIF($A$2:A1009,A1009)</f>
        <v>1</v>
      </c>
      <c r="C1009" s="2">
        <v>45706</v>
      </c>
      <c r="D1009" t="s">
        <v>723</v>
      </c>
      <c r="E1009" t="s">
        <v>23</v>
      </c>
      <c r="F1009" t="s">
        <v>19</v>
      </c>
      <c r="G1009" t="s">
        <v>25</v>
      </c>
      <c r="H1009" t="s">
        <v>26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Q1009">
        <v>66</v>
      </c>
    </row>
    <row r="1010" spans="1:17">
      <c r="A1010" t="s">
        <v>1041</v>
      </c>
      <c r="B1010">
        <f>COUNTIF($A$2:A1010,A1010)</f>
        <v>1</v>
      </c>
      <c r="C1010" s="2">
        <v>45799</v>
      </c>
      <c r="D1010" t="s">
        <v>723</v>
      </c>
      <c r="E1010" t="s">
        <v>23</v>
      </c>
      <c r="F1010" t="s">
        <v>19</v>
      </c>
      <c r="G1010" t="s">
        <v>39</v>
      </c>
      <c r="H1010" t="s">
        <v>21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Q1010">
        <v>63.1</v>
      </c>
    </row>
    <row r="1011" spans="1:17">
      <c r="A1011" t="s">
        <v>1042</v>
      </c>
      <c r="B1011">
        <f>COUNTIF($A$2:A1011,A1011)</f>
        <v>1</v>
      </c>
      <c r="C1011" s="2">
        <v>45798</v>
      </c>
      <c r="D1011" t="s">
        <v>723</v>
      </c>
      <c r="E1011" t="s">
        <v>32</v>
      </c>
      <c r="F1011" t="s">
        <v>19</v>
      </c>
      <c r="G1011" t="s">
        <v>25</v>
      </c>
      <c r="H1011" t="s">
        <v>26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Q1011">
        <v>56</v>
      </c>
    </row>
    <row r="1012" spans="1:17">
      <c r="A1012" t="s">
        <v>1043</v>
      </c>
      <c r="B1012">
        <f>COUNTIF($A$2:A1012,A1012)</f>
        <v>1</v>
      </c>
      <c r="C1012" s="2">
        <v>45757</v>
      </c>
      <c r="D1012" t="s">
        <v>723</v>
      </c>
      <c r="E1012" t="s">
        <v>28</v>
      </c>
      <c r="F1012" t="s">
        <v>19</v>
      </c>
      <c r="G1012" t="s">
        <v>25</v>
      </c>
      <c r="H1012" t="s">
        <v>26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Q1012">
        <v>65.7</v>
      </c>
    </row>
    <row r="1013" spans="1:17">
      <c r="A1013" t="s">
        <v>1044</v>
      </c>
      <c r="B1013">
        <f>COUNTIF($A$2:A1013,A1013)</f>
        <v>1</v>
      </c>
      <c r="C1013" s="2">
        <v>45664</v>
      </c>
      <c r="D1013" t="s">
        <v>723</v>
      </c>
      <c r="E1013" t="s">
        <v>18</v>
      </c>
      <c r="F1013" t="s">
        <v>19</v>
      </c>
      <c r="G1013" t="s">
        <v>25</v>
      </c>
      <c r="H1013" t="s">
        <v>30</v>
      </c>
      <c r="I1013">
        <v>1</v>
      </c>
      <c r="J1013">
        <v>1</v>
      </c>
      <c r="K1013">
        <v>1</v>
      </c>
      <c r="L1013">
        <v>1</v>
      </c>
      <c r="M1013">
        <v>1938.31</v>
      </c>
      <c r="N1013">
        <v>1</v>
      </c>
      <c r="O1013">
        <v>0</v>
      </c>
      <c r="P1013">
        <v>9</v>
      </c>
      <c r="Q1013">
        <v>60.9</v>
      </c>
    </row>
    <row r="1014" spans="1:17">
      <c r="A1014" t="s">
        <v>1045</v>
      </c>
      <c r="B1014">
        <f>COUNTIF($A$2:A1014,A1014)</f>
        <v>1</v>
      </c>
      <c r="C1014" s="2">
        <v>45691</v>
      </c>
      <c r="D1014" t="s">
        <v>723</v>
      </c>
      <c r="E1014" t="s">
        <v>32</v>
      </c>
      <c r="F1014" t="s">
        <v>19</v>
      </c>
      <c r="G1014" t="s">
        <v>41</v>
      </c>
      <c r="H1014" t="s">
        <v>26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Q1014">
        <v>45.5</v>
      </c>
    </row>
    <row r="1015" spans="1:17">
      <c r="A1015" t="s">
        <v>1046</v>
      </c>
      <c r="B1015">
        <f>COUNTIF($A$2:A1015,A1015)</f>
        <v>1</v>
      </c>
      <c r="C1015" s="2">
        <v>45795</v>
      </c>
      <c r="D1015" t="s">
        <v>723</v>
      </c>
      <c r="E1015" t="s">
        <v>18</v>
      </c>
      <c r="F1015" t="s">
        <v>24</v>
      </c>
      <c r="G1015" t="s">
        <v>29</v>
      </c>
      <c r="H1015" t="s">
        <v>26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Q1015">
        <v>50</v>
      </c>
    </row>
    <row r="1016" spans="1:17">
      <c r="A1016" t="s">
        <v>1047</v>
      </c>
      <c r="B1016">
        <f>COUNTIF($A$2:A1016,A1016)</f>
        <v>1</v>
      </c>
      <c r="C1016" s="2">
        <v>45688</v>
      </c>
      <c r="D1016" t="s">
        <v>723</v>
      </c>
      <c r="E1016" t="s">
        <v>18</v>
      </c>
      <c r="F1016" t="s">
        <v>24</v>
      </c>
      <c r="G1016" t="s">
        <v>39</v>
      </c>
      <c r="H1016" t="s">
        <v>26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Q1016">
        <v>72.099999999999994</v>
      </c>
    </row>
    <row r="1017" spans="1:17">
      <c r="A1017" t="s">
        <v>1048</v>
      </c>
      <c r="B1017">
        <f>COUNTIF($A$2:A1017,A1017)</f>
        <v>1</v>
      </c>
      <c r="C1017" s="2">
        <v>45673</v>
      </c>
      <c r="D1017" t="s">
        <v>723</v>
      </c>
      <c r="E1017" t="s">
        <v>32</v>
      </c>
      <c r="F1017" t="s">
        <v>19</v>
      </c>
      <c r="G1017" t="s">
        <v>25</v>
      </c>
      <c r="H1017" t="s">
        <v>21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Q1017">
        <v>76.3</v>
      </c>
    </row>
    <row r="1018" spans="1:17">
      <c r="A1018" t="s">
        <v>1049</v>
      </c>
      <c r="B1018">
        <f>COUNTIF($A$2:A1018,A1018)</f>
        <v>1</v>
      </c>
      <c r="C1018" s="2">
        <v>45791</v>
      </c>
      <c r="D1018" t="s">
        <v>723</v>
      </c>
      <c r="E1018" t="s">
        <v>28</v>
      </c>
      <c r="F1018" t="s">
        <v>24</v>
      </c>
      <c r="G1018" t="s">
        <v>29</v>
      </c>
      <c r="H1018" t="s">
        <v>21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0</v>
      </c>
      <c r="Q1018">
        <v>54.8</v>
      </c>
    </row>
    <row r="1019" spans="1:17">
      <c r="A1019" t="s">
        <v>1050</v>
      </c>
      <c r="B1019">
        <f>COUNTIF($A$2:A1019,A1019)</f>
        <v>1</v>
      </c>
      <c r="C1019" s="2">
        <v>45748</v>
      </c>
      <c r="D1019" t="s">
        <v>723</v>
      </c>
      <c r="E1019" t="s">
        <v>32</v>
      </c>
      <c r="F1019" t="s">
        <v>24</v>
      </c>
      <c r="H1019" t="s">
        <v>21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Q1019">
        <v>63.6</v>
      </c>
    </row>
    <row r="1020" spans="1:17">
      <c r="A1020" t="s">
        <v>1051</v>
      </c>
      <c r="B1020">
        <f>COUNTIF($A$2:A1020,A1020)</f>
        <v>1</v>
      </c>
      <c r="C1020" s="2">
        <v>45770</v>
      </c>
      <c r="D1020" t="s">
        <v>723</v>
      </c>
      <c r="E1020" t="s">
        <v>32</v>
      </c>
      <c r="F1020" t="s">
        <v>24</v>
      </c>
      <c r="G1020" t="s">
        <v>25</v>
      </c>
      <c r="H1020" t="s">
        <v>26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Q1020">
        <v>68.8</v>
      </c>
    </row>
    <row r="1021" spans="1:17">
      <c r="A1021" t="s">
        <v>1052</v>
      </c>
      <c r="B1021">
        <f>COUNTIF($A$2:A1021,A1021)</f>
        <v>1</v>
      </c>
      <c r="C1021" s="2">
        <v>45718</v>
      </c>
      <c r="D1021" t="s">
        <v>723</v>
      </c>
      <c r="E1021" t="s">
        <v>32</v>
      </c>
      <c r="F1021" t="s">
        <v>19</v>
      </c>
      <c r="G1021" t="s">
        <v>29</v>
      </c>
      <c r="H1021" t="s">
        <v>21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Q1021">
        <v>63.2</v>
      </c>
    </row>
    <row r="1022" spans="1:17">
      <c r="A1022" t="s">
        <v>1053</v>
      </c>
      <c r="B1022">
        <f>COUNTIF($A$2:A1022,A1022)</f>
        <v>1</v>
      </c>
      <c r="C1022" s="2">
        <v>45659</v>
      </c>
      <c r="D1022" t="s">
        <v>723</v>
      </c>
      <c r="E1022" t="s">
        <v>28</v>
      </c>
      <c r="F1022" t="s">
        <v>24</v>
      </c>
      <c r="G1022" t="s">
        <v>29</v>
      </c>
      <c r="H1022" t="s">
        <v>21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Q1022">
        <v>45</v>
      </c>
    </row>
    <row r="1023" spans="1:17">
      <c r="A1023" t="s">
        <v>1054</v>
      </c>
      <c r="B1023">
        <f>COUNTIF($A$2:A1023,A1023)</f>
        <v>1</v>
      </c>
      <c r="C1023" s="2">
        <v>45781</v>
      </c>
      <c r="D1023" t="s">
        <v>723</v>
      </c>
      <c r="E1023" t="s">
        <v>32</v>
      </c>
      <c r="F1023" t="s">
        <v>24</v>
      </c>
      <c r="G1023" t="s">
        <v>25</v>
      </c>
      <c r="H1023" t="s">
        <v>26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Q1023">
        <v>77.400000000000006</v>
      </c>
    </row>
    <row r="1024" spans="1:17">
      <c r="A1024" t="s">
        <v>1055</v>
      </c>
      <c r="B1024">
        <f>COUNTIF($A$2:A1024,A1024)</f>
        <v>1</v>
      </c>
      <c r="C1024" s="2">
        <v>45673</v>
      </c>
      <c r="D1024" t="s">
        <v>723</v>
      </c>
      <c r="E1024" t="s">
        <v>28</v>
      </c>
      <c r="F1024" t="s">
        <v>19</v>
      </c>
      <c r="G1024" t="s">
        <v>29</v>
      </c>
      <c r="H1024" t="s">
        <v>21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Q1024">
        <v>53.1</v>
      </c>
    </row>
    <row r="1025" spans="1:17">
      <c r="A1025" t="s">
        <v>1056</v>
      </c>
      <c r="B1025">
        <f>COUNTIF($A$2:A1025,A1025)</f>
        <v>1</v>
      </c>
      <c r="C1025" s="2">
        <v>45699</v>
      </c>
      <c r="D1025" t="s">
        <v>723</v>
      </c>
      <c r="E1025" t="s">
        <v>23</v>
      </c>
      <c r="F1025" t="s">
        <v>34</v>
      </c>
      <c r="G1025" t="s">
        <v>29</v>
      </c>
      <c r="H1025" t="s">
        <v>30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Q1025">
        <v>74</v>
      </c>
    </row>
    <row r="1026" spans="1:17">
      <c r="A1026" t="s">
        <v>1057</v>
      </c>
      <c r="B1026">
        <f>COUNTIF($A$2:A1026,A1026)</f>
        <v>1</v>
      </c>
      <c r="C1026" s="2">
        <v>45750</v>
      </c>
      <c r="D1026" t="s">
        <v>723</v>
      </c>
      <c r="E1026" t="s">
        <v>18</v>
      </c>
      <c r="F1026" t="s">
        <v>24</v>
      </c>
      <c r="G1026" t="s">
        <v>41</v>
      </c>
      <c r="H1026" t="s">
        <v>30</v>
      </c>
      <c r="I1026">
        <v>1</v>
      </c>
      <c r="J1026">
        <v>1</v>
      </c>
      <c r="K1026">
        <v>1</v>
      </c>
      <c r="L1026">
        <v>1</v>
      </c>
      <c r="M1026">
        <v>1906.23</v>
      </c>
      <c r="N1026">
        <v>0</v>
      </c>
      <c r="O1026">
        <v>0</v>
      </c>
      <c r="P1026">
        <v>4</v>
      </c>
      <c r="Q1026">
        <v>84.6</v>
      </c>
    </row>
    <row r="1027" spans="1:17">
      <c r="A1027" t="s">
        <v>1058</v>
      </c>
      <c r="B1027">
        <f>COUNTIF($A$2:A1027,A1027)</f>
        <v>1</v>
      </c>
      <c r="C1027" s="2">
        <v>45742</v>
      </c>
      <c r="D1027" t="s">
        <v>723</v>
      </c>
      <c r="E1027" t="s">
        <v>28</v>
      </c>
      <c r="F1027" t="s">
        <v>24</v>
      </c>
      <c r="G1027" t="s">
        <v>39</v>
      </c>
      <c r="H1027" t="s">
        <v>26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57</v>
      </c>
    </row>
    <row r="1028" spans="1:17">
      <c r="A1028" t="s">
        <v>1059</v>
      </c>
      <c r="B1028">
        <f>COUNTIF($A$2:A1028,A1028)</f>
        <v>1</v>
      </c>
      <c r="C1028" s="2">
        <v>45793</v>
      </c>
      <c r="D1028" t="s">
        <v>723</v>
      </c>
      <c r="E1028" t="s">
        <v>32</v>
      </c>
      <c r="F1028" t="s">
        <v>24</v>
      </c>
      <c r="G1028" t="s">
        <v>20</v>
      </c>
      <c r="H1028" t="s">
        <v>30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46.3</v>
      </c>
    </row>
    <row r="1029" spans="1:17">
      <c r="A1029" t="s">
        <v>1060</v>
      </c>
      <c r="B1029">
        <f>COUNTIF($A$2:A1029,A1029)</f>
        <v>1</v>
      </c>
      <c r="C1029" s="2">
        <v>45767</v>
      </c>
      <c r="D1029" t="s">
        <v>723</v>
      </c>
      <c r="E1029" t="s">
        <v>23</v>
      </c>
      <c r="F1029" t="s">
        <v>24</v>
      </c>
      <c r="G1029" t="s">
        <v>41</v>
      </c>
      <c r="H1029" t="s">
        <v>26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Q1029">
        <v>64.400000000000006</v>
      </c>
    </row>
    <row r="1030" spans="1:17">
      <c r="A1030" t="s">
        <v>1061</v>
      </c>
      <c r="B1030">
        <f>COUNTIF($A$2:A1030,A1030)</f>
        <v>1</v>
      </c>
      <c r="C1030" s="2">
        <v>45762</v>
      </c>
      <c r="D1030" t="s">
        <v>723</v>
      </c>
      <c r="E1030" t="s">
        <v>23</v>
      </c>
      <c r="F1030" t="s">
        <v>24</v>
      </c>
      <c r="G1030" t="s">
        <v>29</v>
      </c>
      <c r="H1030" t="s">
        <v>26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2</v>
      </c>
      <c r="O1030">
        <v>0</v>
      </c>
      <c r="Q1030">
        <v>61.9</v>
      </c>
    </row>
    <row r="1031" spans="1:17">
      <c r="A1031" t="s">
        <v>1062</v>
      </c>
      <c r="B1031">
        <f>COUNTIF($A$2:A1031,A1031)</f>
        <v>1</v>
      </c>
      <c r="C1031" s="2">
        <v>45681</v>
      </c>
      <c r="D1031" t="s">
        <v>723</v>
      </c>
      <c r="E1031" t="s">
        <v>18</v>
      </c>
      <c r="F1031" t="s">
        <v>24</v>
      </c>
      <c r="G1031" t="s">
        <v>25</v>
      </c>
      <c r="H1031" t="s">
        <v>30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0</v>
      </c>
      <c r="O1031">
        <v>0</v>
      </c>
      <c r="Q1031">
        <v>93.7</v>
      </c>
    </row>
    <row r="1032" spans="1:17">
      <c r="A1032" t="s">
        <v>1063</v>
      </c>
      <c r="B1032">
        <f>COUNTIF($A$2:A1032,A1032)</f>
        <v>1</v>
      </c>
      <c r="C1032" s="2">
        <v>45758</v>
      </c>
      <c r="D1032" t="s">
        <v>723</v>
      </c>
      <c r="E1032" t="s">
        <v>32</v>
      </c>
      <c r="F1032" t="s">
        <v>24</v>
      </c>
      <c r="G1032" t="s">
        <v>39</v>
      </c>
      <c r="H1032" t="s">
        <v>21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Q1032">
        <v>61.6</v>
      </c>
    </row>
    <row r="1033" spans="1:17">
      <c r="A1033" t="s">
        <v>1064</v>
      </c>
      <c r="B1033">
        <f>COUNTIF($A$2:A1033,A1033)</f>
        <v>1</v>
      </c>
      <c r="C1033" s="2">
        <v>45796</v>
      </c>
      <c r="D1033" t="s">
        <v>723</v>
      </c>
      <c r="E1033" t="s">
        <v>18</v>
      </c>
      <c r="F1033" t="s">
        <v>24</v>
      </c>
      <c r="G1033" t="s">
        <v>29</v>
      </c>
      <c r="H1033" t="s">
        <v>26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Q1033">
        <v>72.2</v>
      </c>
    </row>
    <row r="1034" spans="1:17">
      <c r="A1034" t="s">
        <v>1065</v>
      </c>
      <c r="B1034">
        <f>COUNTIF($A$2:A1034,A1034)</f>
        <v>1</v>
      </c>
      <c r="C1034" s="2">
        <v>45671</v>
      </c>
      <c r="D1034" t="s">
        <v>723</v>
      </c>
      <c r="E1034" t="s">
        <v>18</v>
      </c>
      <c r="F1034" t="s">
        <v>24</v>
      </c>
      <c r="G1034" t="s">
        <v>25</v>
      </c>
      <c r="H1034" t="s">
        <v>21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Q1034">
        <v>69.5</v>
      </c>
    </row>
    <row r="1035" spans="1:17">
      <c r="A1035" t="s">
        <v>1066</v>
      </c>
      <c r="B1035">
        <f>COUNTIF($A$2:A1035,A1035)</f>
        <v>1</v>
      </c>
      <c r="C1035" s="2">
        <v>45716</v>
      </c>
      <c r="D1035" t="s">
        <v>723</v>
      </c>
      <c r="E1035" t="s">
        <v>28</v>
      </c>
      <c r="F1035" t="s">
        <v>19</v>
      </c>
      <c r="G1035" t="s">
        <v>25</v>
      </c>
      <c r="H1035" t="s">
        <v>21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Q1035">
        <v>59.7</v>
      </c>
    </row>
    <row r="1036" spans="1:17">
      <c r="A1036" t="s">
        <v>1067</v>
      </c>
      <c r="B1036">
        <f>COUNTIF($A$2:A1036,A1036)</f>
        <v>1</v>
      </c>
      <c r="C1036" s="2">
        <v>45795</v>
      </c>
      <c r="D1036" t="s">
        <v>723</v>
      </c>
      <c r="E1036" t="s">
        <v>28</v>
      </c>
      <c r="F1036" t="s">
        <v>34</v>
      </c>
      <c r="G1036" t="s">
        <v>29</v>
      </c>
      <c r="H1036" t="s">
        <v>21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Q1036">
        <v>73.900000000000006</v>
      </c>
    </row>
    <row r="1037" spans="1:17">
      <c r="A1037" t="s">
        <v>1068</v>
      </c>
      <c r="B1037">
        <f>COUNTIF($A$2:A1037,A1037)</f>
        <v>1</v>
      </c>
      <c r="C1037" s="2">
        <v>45661</v>
      </c>
      <c r="D1037" t="s">
        <v>723</v>
      </c>
      <c r="E1037" t="s">
        <v>18</v>
      </c>
      <c r="F1037" t="s">
        <v>24</v>
      </c>
      <c r="G1037" t="s">
        <v>41</v>
      </c>
      <c r="H1037" t="s">
        <v>26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Q1037">
        <v>41.5</v>
      </c>
    </row>
    <row r="1038" spans="1:17">
      <c r="A1038" t="s">
        <v>1069</v>
      </c>
      <c r="B1038">
        <f>COUNTIF($A$2:A1038,A1038)</f>
        <v>1</v>
      </c>
      <c r="C1038" s="2">
        <v>45673</v>
      </c>
      <c r="D1038" t="s">
        <v>723</v>
      </c>
      <c r="E1038" t="s">
        <v>23</v>
      </c>
      <c r="F1038" t="s">
        <v>24</v>
      </c>
      <c r="G1038" t="s">
        <v>41</v>
      </c>
      <c r="H1038" t="s">
        <v>30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Q1038">
        <v>82.8</v>
      </c>
    </row>
    <row r="1039" spans="1:17">
      <c r="A1039" t="s">
        <v>1070</v>
      </c>
      <c r="B1039">
        <f>COUNTIF($A$2:A1039,A1039)</f>
        <v>1</v>
      </c>
      <c r="C1039" s="2">
        <v>45730</v>
      </c>
      <c r="D1039" t="s">
        <v>723</v>
      </c>
      <c r="E1039" t="s">
        <v>23</v>
      </c>
      <c r="F1039" t="s">
        <v>24</v>
      </c>
      <c r="G1039" t="s">
        <v>41</v>
      </c>
      <c r="H1039" t="s">
        <v>30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3</v>
      </c>
      <c r="O1039">
        <v>0</v>
      </c>
      <c r="Q1039">
        <v>70.2</v>
      </c>
    </row>
    <row r="1040" spans="1:17">
      <c r="A1040" t="s">
        <v>1071</v>
      </c>
      <c r="B1040">
        <f>COUNTIF($A$2:A1040,A1040)</f>
        <v>1</v>
      </c>
      <c r="C1040" s="2">
        <v>45680</v>
      </c>
      <c r="D1040" t="s">
        <v>723</v>
      </c>
      <c r="E1040" t="s">
        <v>28</v>
      </c>
      <c r="F1040" t="s">
        <v>24</v>
      </c>
      <c r="G1040" t="s">
        <v>29</v>
      </c>
      <c r="H1040" t="s">
        <v>21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Q1040">
        <v>69.400000000000006</v>
      </c>
    </row>
    <row r="1041" spans="1:17">
      <c r="A1041" t="s">
        <v>1072</v>
      </c>
      <c r="B1041">
        <f>COUNTIF($A$2:A1041,A1041)</f>
        <v>1</v>
      </c>
      <c r="C1041" s="2">
        <v>45691</v>
      </c>
      <c r="D1041" t="s">
        <v>723</v>
      </c>
      <c r="E1041" t="s">
        <v>18</v>
      </c>
      <c r="F1041" t="s">
        <v>19</v>
      </c>
      <c r="G1041" t="s">
        <v>25</v>
      </c>
      <c r="H1041" t="s">
        <v>21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Q1041">
        <v>60.4</v>
      </c>
    </row>
    <row r="1042" spans="1:17">
      <c r="A1042" t="s">
        <v>1073</v>
      </c>
      <c r="B1042">
        <f>COUNTIF($A$2:A1042,A1042)</f>
        <v>1</v>
      </c>
      <c r="C1042" s="2">
        <v>45793</v>
      </c>
      <c r="D1042" t="s">
        <v>723</v>
      </c>
      <c r="E1042" t="s">
        <v>28</v>
      </c>
      <c r="F1042" t="s">
        <v>24</v>
      </c>
      <c r="G1042" t="s">
        <v>39</v>
      </c>
      <c r="H1042" t="s">
        <v>26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Q1042">
        <v>45.7</v>
      </c>
    </row>
    <row r="1043" spans="1:17">
      <c r="A1043" t="s">
        <v>1074</v>
      </c>
      <c r="B1043">
        <f>COUNTIF($A$2:A1043,A1043)</f>
        <v>1</v>
      </c>
      <c r="C1043" s="2">
        <v>45668</v>
      </c>
      <c r="D1043" t="s">
        <v>723</v>
      </c>
      <c r="E1043" t="s">
        <v>23</v>
      </c>
      <c r="F1043" t="s">
        <v>24</v>
      </c>
      <c r="G1043" t="s">
        <v>25</v>
      </c>
      <c r="H1043" t="s">
        <v>21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Q1043">
        <v>42.2</v>
      </c>
    </row>
    <row r="1044" spans="1:17">
      <c r="A1044" t="s">
        <v>1075</v>
      </c>
      <c r="B1044">
        <f>COUNTIF($A$2:A1044,A1044)</f>
        <v>1</v>
      </c>
      <c r="C1044" s="2">
        <v>45802</v>
      </c>
      <c r="D1044" t="s">
        <v>723</v>
      </c>
      <c r="E1044" t="s">
        <v>18</v>
      </c>
      <c r="F1044" t="s">
        <v>19</v>
      </c>
      <c r="G1044" t="s">
        <v>25</v>
      </c>
      <c r="H1044" t="s">
        <v>26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2</v>
      </c>
      <c r="O1044">
        <v>0</v>
      </c>
      <c r="Q1044">
        <v>61.9</v>
      </c>
    </row>
    <row r="1045" spans="1:17">
      <c r="A1045" t="s">
        <v>1076</v>
      </c>
      <c r="B1045">
        <f>COUNTIF($A$2:A1045,A1045)</f>
        <v>1</v>
      </c>
      <c r="C1045" s="2">
        <v>45785</v>
      </c>
      <c r="D1045" t="s">
        <v>723</v>
      </c>
      <c r="E1045" t="s">
        <v>28</v>
      </c>
      <c r="F1045" t="s">
        <v>24</v>
      </c>
      <c r="G1045" t="s">
        <v>29</v>
      </c>
      <c r="H1045" t="s">
        <v>30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Q1045">
        <v>44.9</v>
      </c>
    </row>
    <row r="1046" spans="1:17">
      <c r="A1046" t="s">
        <v>1077</v>
      </c>
      <c r="B1046">
        <f>COUNTIF($A$2:A1046,A1046)</f>
        <v>1</v>
      </c>
      <c r="C1046" s="2">
        <v>45714</v>
      </c>
      <c r="D1046" t="s">
        <v>723</v>
      </c>
      <c r="E1046" t="s">
        <v>28</v>
      </c>
      <c r="F1046" t="s">
        <v>19</v>
      </c>
      <c r="H1046" t="s">
        <v>21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Q1046">
        <v>68</v>
      </c>
    </row>
    <row r="1047" spans="1:17">
      <c r="A1047" t="s">
        <v>1078</v>
      </c>
      <c r="B1047">
        <f>COUNTIF($A$2:A1047,A1047)</f>
        <v>1</v>
      </c>
      <c r="C1047" s="2">
        <v>45746</v>
      </c>
      <c r="D1047" t="s">
        <v>723</v>
      </c>
      <c r="E1047" t="s">
        <v>18</v>
      </c>
      <c r="F1047" t="s">
        <v>24</v>
      </c>
      <c r="G1047" t="s">
        <v>29</v>
      </c>
      <c r="H1047" t="s">
        <v>26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Q1047">
        <v>61</v>
      </c>
    </row>
    <row r="1048" spans="1:17">
      <c r="A1048" t="s">
        <v>1079</v>
      </c>
      <c r="B1048">
        <f>COUNTIF($A$2:A1048,A1048)</f>
        <v>1</v>
      </c>
      <c r="C1048" s="2">
        <v>45760</v>
      </c>
      <c r="D1048" t="s">
        <v>723</v>
      </c>
      <c r="E1048" t="s">
        <v>23</v>
      </c>
      <c r="F1048" t="s">
        <v>24</v>
      </c>
      <c r="G1048" t="s">
        <v>25</v>
      </c>
      <c r="H1048" t="s">
        <v>21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Q1048">
        <v>55</v>
      </c>
    </row>
    <row r="1049" spans="1:17">
      <c r="A1049" t="s">
        <v>1080</v>
      </c>
      <c r="B1049">
        <f>COUNTIF($A$2:A1049,A1049)</f>
        <v>1</v>
      </c>
      <c r="C1049" s="2">
        <v>45708</v>
      </c>
      <c r="D1049" t="s">
        <v>723</v>
      </c>
      <c r="E1049" t="s">
        <v>28</v>
      </c>
      <c r="G1049" t="s">
        <v>29</v>
      </c>
      <c r="H1049" t="s">
        <v>21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Q1049">
        <v>63.1</v>
      </c>
    </row>
    <row r="1050" spans="1:17">
      <c r="A1050" t="s">
        <v>1081</v>
      </c>
      <c r="B1050">
        <f>COUNTIF($A$2:A1050,A1050)</f>
        <v>1</v>
      </c>
      <c r="C1050" s="2">
        <v>45766</v>
      </c>
      <c r="D1050" t="s">
        <v>723</v>
      </c>
      <c r="E1050" t="s">
        <v>23</v>
      </c>
      <c r="F1050" t="s">
        <v>19</v>
      </c>
      <c r="G1050" t="s">
        <v>41</v>
      </c>
      <c r="H1050" t="s">
        <v>26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Q1050">
        <v>75.8</v>
      </c>
    </row>
    <row r="1051" spans="1:17">
      <c r="A1051" t="s">
        <v>1082</v>
      </c>
      <c r="B1051">
        <f>COUNTIF($A$2:A1051,A1051)</f>
        <v>1</v>
      </c>
      <c r="C1051" s="2">
        <v>45738</v>
      </c>
      <c r="D1051" t="s">
        <v>723</v>
      </c>
      <c r="E1051" t="s">
        <v>32</v>
      </c>
      <c r="F1051" t="s">
        <v>24</v>
      </c>
      <c r="G1051" t="s">
        <v>29</v>
      </c>
      <c r="H1051" t="s">
        <v>26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0</v>
      </c>
      <c r="Q1051">
        <v>43.8</v>
      </c>
    </row>
    <row r="1052" spans="1:17">
      <c r="A1052" t="s">
        <v>1083</v>
      </c>
      <c r="B1052">
        <f>COUNTIF($A$2:A1052,A1052)</f>
        <v>1</v>
      </c>
      <c r="C1052" s="2">
        <v>45716</v>
      </c>
      <c r="D1052" t="s">
        <v>723</v>
      </c>
      <c r="E1052" t="s">
        <v>18</v>
      </c>
      <c r="F1052" t="s">
        <v>24</v>
      </c>
      <c r="G1052" t="s">
        <v>20</v>
      </c>
      <c r="H1052" t="s">
        <v>21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Q1052">
        <v>46.8</v>
      </c>
    </row>
    <row r="1053" spans="1:17">
      <c r="A1053" t="s">
        <v>1084</v>
      </c>
      <c r="B1053">
        <f>COUNTIF($A$2:A1053,A1053)</f>
        <v>1</v>
      </c>
      <c r="C1053" s="2">
        <v>45801</v>
      </c>
      <c r="D1053" t="s">
        <v>723</v>
      </c>
      <c r="E1053" t="s">
        <v>28</v>
      </c>
      <c r="F1053" t="s">
        <v>24</v>
      </c>
      <c r="G1053" t="s">
        <v>41</v>
      </c>
      <c r="H1053" t="s">
        <v>26</v>
      </c>
      <c r="I1053">
        <v>1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0</v>
      </c>
      <c r="Q1053">
        <v>97.4</v>
      </c>
    </row>
    <row r="1054" spans="1:17">
      <c r="A1054" t="s">
        <v>1085</v>
      </c>
      <c r="B1054">
        <f>COUNTIF($A$2:A1054,A1054)</f>
        <v>1</v>
      </c>
      <c r="C1054" s="2">
        <v>45691</v>
      </c>
      <c r="D1054" t="s">
        <v>723</v>
      </c>
      <c r="E1054" t="s">
        <v>18</v>
      </c>
      <c r="F1054" t="s">
        <v>19</v>
      </c>
      <c r="G1054" t="s">
        <v>20</v>
      </c>
      <c r="H1054" t="s">
        <v>26</v>
      </c>
      <c r="I1054">
        <v>1</v>
      </c>
      <c r="J1054">
        <v>1</v>
      </c>
      <c r="K1054">
        <v>1</v>
      </c>
      <c r="L1054">
        <v>1</v>
      </c>
      <c r="M1054">
        <v>268.95999999999998</v>
      </c>
      <c r="N1054">
        <v>0</v>
      </c>
      <c r="O1054">
        <v>0</v>
      </c>
      <c r="P1054">
        <v>14</v>
      </c>
      <c r="Q1054">
        <v>81</v>
      </c>
    </row>
    <row r="1055" spans="1:17">
      <c r="A1055" t="s">
        <v>1086</v>
      </c>
      <c r="B1055">
        <f>COUNTIF($A$2:A1055,A1055)</f>
        <v>1</v>
      </c>
      <c r="C1055" s="2">
        <v>45684</v>
      </c>
      <c r="D1055" t="s">
        <v>723</v>
      </c>
      <c r="E1055" t="s">
        <v>32</v>
      </c>
      <c r="F1055" t="s">
        <v>24</v>
      </c>
      <c r="G1055" t="s">
        <v>25</v>
      </c>
      <c r="H1055" t="s">
        <v>26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Q1055">
        <v>58.9</v>
      </c>
    </row>
    <row r="1056" spans="1:17">
      <c r="A1056" t="s">
        <v>1087</v>
      </c>
      <c r="B1056">
        <f>COUNTIF($A$2:A1056,A1056)</f>
        <v>1</v>
      </c>
      <c r="C1056" s="2">
        <v>45764</v>
      </c>
      <c r="D1056" t="s">
        <v>723</v>
      </c>
      <c r="E1056" t="s">
        <v>28</v>
      </c>
      <c r="F1056" t="s">
        <v>24</v>
      </c>
      <c r="G1056" t="s">
        <v>25</v>
      </c>
      <c r="H1056" t="s">
        <v>26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Q1056">
        <v>51.9</v>
      </c>
    </row>
    <row r="1057" spans="1:17">
      <c r="A1057" t="s">
        <v>1088</v>
      </c>
      <c r="B1057">
        <f>COUNTIF($A$2:A1057,A1057)</f>
        <v>1</v>
      </c>
      <c r="C1057" s="2">
        <v>45694</v>
      </c>
      <c r="D1057" t="s">
        <v>723</v>
      </c>
      <c r="E1057" t="s">
        <v>23</v>
      </c>
      <c r="F1057" t="s">
        <v>24</v>
      </c>
      <c r="G1057" t="s">
        <v>41</v>
      </c>
      <c r="H1057" t="s">
        <v>26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61.7</v>
      </c>
    </row>
    <row r="1058" spans="1:17">
      <c r="A1058" t="s">
        <v>1089</v>
      </c>
      <c r="B1058">
        <f>COUNTIF($A$2:A1058,A1058)</f>
        <v>1</v>
      </c>
      <c r="C1058" s="2">
        <v>45767</v>
      </c>
      <c r="D1058" t="s">
        <v>723</v>
      </c>
      <c r="E1058" t="s">
        <v>32</v>
      </c>
      <c r="F1058" t="s">
        <v>24</v>
      </c>
      <c r="G1058" t="s">
        <v>29</v>
      </c>
      <c r="H1058" t="s">
        <v>26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Q1058">
        <v>44.7</v>
      </c>
    </row>
    <row r="1059" spans="1:17">
      <c r="A1059" t="s">
        <v>1090</v>
      </c>
      <c r="B1059">
        <f>COUNTIF($A$2:A1059,A1059)</f>
        <v>1</v>
      </c>
      <c r="C1059" s="2">
        <v>45783</v>
      </c>
      <c r="D1059" t="s">
        <v>723</v>
      </c>
      <c r="E1059" t="s">
        <v>18</v>
      </c>
      <c r="F1059" t="s">
        <v>24</v>
      </c>
      <c r="G1059" t="s">
        <v>29</v>
      </c>
      <c r="H1059" t="s">
        <v>21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63.2</v>
      </c>
    </row>
    <row r="1060" spans="1:17">
      <c r="A1060" t="s">
        <v>1091</v>
      </c>
      <c r="B1060">
        <f>COUNTIF($A$2:A1060,A1060)</f>
        <v>1</v>
      </c>
      <c r="C1060" s="2">
        <v>45793</v>
      </c>
      <c r="D1060" t="s">
        <v>723</v>
      </c>
      <c r="E1060" t="s">
        <v>32</v>
      </c>
      <c r="F1060" t="s">
        <v>24</v>
      </c>
      <c r="G1060" t="s">
        <v>25</v>
      </c>
      <c r="H1060" t="s">
        <v>26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70.3</v>
      </c>
    </row>
    <row r="1061" spans="1:17">
      <c r="A1061" t="s">
        <v>1092</v>
      </c>
      <c r="B1061">
        <f>COUNTIF($A$2:A1061,A1061)</f>
        <v>1</v>
      </c>
      <c r="C1061" s="2">
        <v>45718</v>
      </c>
      <c r="D1061" t="s">
        <v>723</v>
      </c>
      <c r="E1061" t="s">
        <v>32</v>
      </c>
      <c r="F1061" t="s">
        <v>24</v>
      </c>
      <c r="G1061" t="s">
        <v>29</v>
      </c>
      <c r="H1061" t="s">
        <v>30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0</v>
      </c>
      <c r="Q1061">
        <v>83.1</v>
      </c>
    </row>
    <row r="1062" spans="1:17">
      <c r="A1062" t="s">
        <v>1093</v>
      </c>
      <c r="B1062">
        <f>COUNTIF($A$2:A1062,A1062)</f>
        <v>1</v>
      </c>
      <c r="C1062" s="2">
        <v>45756</v>
      </c>
      <c r="D1062" t="s">
        <v>723</v>
      </c>
      <c r="E1062" t="s">
        <v>23</v>
      </c>
      <c r="F1062" t="s">
        <v>24</v>
      </c>
      <c r="G1062" t="s">
        <v>41</v>
      </c>
      <c r="H1062" t="s">
        <v>26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Q1062">
        <v>50.3</v>
      </c>
    </row>
    <row r="1063" spans="1:17">
      <c r="A1063" t="s">
        <v>1094</v>
      </c>
      <c r="B1063">
        <f>COUNTIF($A$2:A1063,A1063)</f>
        <v>1</v>
      </c>
      <c r="C1063" s="2">
        <v>45683</v>
      </c>
      <c r="D1063" t="s">
        <v>723</v>
      </c>
      <c r="E1063" t="s">
        <v>28</v>
      </c>
      <c r="F1063" t="s">
        <v>24</v>
      </c>
      <c r="G1063" t="s">
        <v>29</v>
      </c>
      <c r="H1063" t="s">
        <v>26</v>
      </c>
      <c r="I1063">
        <v>1</v>
      </c>
      <c r="J1063">
        <v>1</v>
      </c>
      <c r="K1063">
        <v>1</v>
      </c>
      <c r="L1063">
        <v>1</v>
      </c>
      <c r="M1063">
        <v>437.09</v>
      </c>
      <c r="N1063">
        <v>2</v>
      </c>
      <c r="O1063">
        <v>1</v>
      </c>
      <c r="P1063">
        <v>1</v>
      </c>
      <c r="Q1063">
        <v>58.2</v>
      </c>
    </row>
    <row r="1064" spans="1:17">
      <c r="A1064" t="s">
        <v>1095</v>
      </c>
      <c r="B1064">
        <f>COUNTIF($A$2:A1064,A1064)</f>
        <v>1</v>
      </c>
      <c r="C1064" s="2">
        <v>45713</v>
      </c>
      <c r="D1064" t="s">
        <v>723</v>
      </c>
      <c r="E1064" t="s">
        <v>32</v>
      </c>
      <c r="F1064" t="s">
        <v>24</v>
      </c>
      <c r="G1064" t="s">
        <v>29</v>
      </c>
      <c r="H1064" t="s">
        <v>21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0</v>
      </c>
      <c r="Q1064">
        <v>53.2</v>
      </c>
    </row>
    <row r="1065" spans="1:17">
      <c r="A1065" t="s">
        <v>1096</v>
      </c>
      <c r="B1065">
        <f>COUNTIF($A$2:A1065,A1065)</f>
        <v>1</v>
      </c>
      <c r="C1065" s="2">
        <v>45664</v>
      </c>
      <c r="D1065" t="s">
        <v>723</v>
      </c>
      <c r="E1065" t="s">
        <v>28</v>
      </c>
      <c r="F1065" t="s">
        <v>24</v>
      </c>
      <c r="G1065" t="s">
        <v>25</v>
      </c>
      <c r="H1065" t="s">
        <v>30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Q1065">
        <v>36.4</v>
      </c>
    </row>
    <row r="1066" spans="1:17">
      <c r="A1066" t="s">
        <v>1097</v>
      </c>
      <c r="B1066">
        <f>COUNTIF($A$2:A1066,A1066)</f>
        <v>1</v>
      </c>
      <c r="C1066" s="2">
        <v>45724</v>
      </c>
      <c r="D1066" t="s">
        <v>723</v>
      </c>
      <c r="E1066" t="s">
        <v>32</v>
      </c>
      <c r="F1066" t="s">
        <v>24</v>
      </c>
      <c r="G1066" t="s">
        <v>41</v>
      </c>
      <c r="H1066" t="s">
        <v>21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Q1066">
        <v>72.7</v>
      </c>
    </row>
    <row r="1067" spans="1:17">
      <c r="A1067" t="s">
        <v>1098</v>
      </c>
      <c r="B1067">
        <f>COUNTIF($A$2:A1067,A1067)</f>
        <v>1</v>
      </c>
      <c r="C1067" s="2">
        <v>45799</v>
      </c>
      <c r="D1067" t="s">
        <v>723</v>
      </c>
      <c r="E1067" t="s">
        <v>28</v>
      </c>
      <c r="F1067" t="s">
        <v>24</v>
      </c>
      <c r="G1067" t="s">
        <v>39</v>
      </c>
      <c r="H1067" t="s">
        <v>26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Q1067">
        <v>86.7</v>
      </c>
    </row>
    <row r="1068" spans="1:17">
      <c r="A1068" t="s">
        <v>1099</v>
      </c>
      <c r="B1068">
        <f>COUNTIF($A$2:A1068,A1068)</f>
        <v>1</v>
      </c>
      <c r="C1068" s="2">
        <v>45765</v>
      </c>
      <c r="D1068" t="s">
        <v>723</v>
      </c>
      <c r="E1068" t="s">
        <v>28</v>
      </c>
      <c r="F1068" t="s">
        <v>24</v>
      </c>
      <c r="G1068" t="s">
        <v>29</v>
      </c>
      <c r="H1068" t="s">
        <v>30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Q1068">
        <v>48.2</v>
      </c>
    </row>
    <row r="1069" spans="1:17">
      <c r="A1069" t="s">
        <v>1100</v>
      </c>
      <c r="B1069">
        <f>COUNTIF($A$2:A1069,A1069)</f>
        <v>1</v>
      </c>
      <c r="C1069" s="2">
        <v>45712</v>
      </c>
      <c r="D1069" t="s">
        <v>723</v>
      </c>
      <c r="E1069" t="s">
        <v>23</v>
      </c>
      <c r="F1069" t="s">
        <v>24</v>
      </c>
      <c r="G1069" t="s">
        <v>39</v>
      </c>
      <c r="H1069" t="s">
        <v>21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Q1069">
        <v>57.6</v>
      </c>
    </row>
    <row r="1070" spans="1:17">
      <c r="A1070" t="s">
        <v>1101</v>
      </c>
      <c r="B1070">
        <f>COUNTIF($A$2:A1070,A1070)</f>
        <v>1</v>
      </c>
      <c r="C1070" s="2">
        <v>45699</v>
      </c>
      <c r="D1070" t="s">
        <v>723</v>
      </c>
      <c r="E1070" t="s">
        <v>18</v>
      </c>
      <c r="F1070" t="s">
        <v>24</v>
      </c>
      <c r="G1070" t="s">
        <v>25</v>
      </c>
      <c r="H1070" t="s">
        <v>26</v>
      </c>
      <c r="I1070">
        <v>1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0</v>
      </c>
      <c r="Q1070">
        <v>75.7</v>
      </c>
    </row>
    <row r="1071" spans="1:17">
      <c r="A1071" t="s">
        <v>1102</v>
      </c>
      <c r="B1071">
        <f>COUNTIF($A$2:A1071,A1071)</f>
        <v>1</v>
      </c>
      <c r="C1071" s="2">
        <v>45727</v>
      </c>
      <c r="D1071" t="s">
        <v>723</v>
      </c>
      <c r="E1071" t="s">
        <v>23</v>
      </c>
      <c r="F1071" t="s">
        <v>19</v>
      </c>
      <c r="G1071" t="s">
        <v>29</v>
      </c>
      <c r="H1071" t="s">
        <v>26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0</v>
      </c>
      <c r="Q1071">
        <v>48.6</v>
      </c>
    </row>
    <row r="1072" spans="1:17">
      <c r="A1072" t="s">
        <v>1103</v>
      </c>
      <c r="B1072">
        <f>COUNTIF($A$2:A1072,A1072)</f>
        <v>1</v>
      </c>
      <c r="C1072" s="2">
        <v>45758</v>
      </c>
      <c r="D1072" t="s">
        <v>723</v>
      </c>
      <c r="E1072" t="s">
        <v>28</v>
      </c>
      <c r="F1072" t="s">
        <v>34</v>
      </c>
      <c r="G1072" t="s">
        <v>39</v>
      </c>
      <c r="H1072" t="s">
        <v>26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Q1072">
        <v>72</v>
      </c>
    </row>
    <row r="1073" spans="1:17">
      <c r="A1073" t="s">
        <v>1104</v>
      </c>
      <c r="B1073">
        <f>COUNTIF($A$2:A1073,A1073)</f>
        <v>1</v>
      </c>
      <c r="C1073" s="2">
        <v>45727</v>
      </c>
      <c r="D1073" t="s">
        <v>723</v>
      </c>
      <c r="E1073" t="s">
        <v>18</v>
      </c>
      <c r="F1073" t="s">
        <v>24</v>
      </c>
      <c r="G1073" t="s">
        <v>25</v>
      </c>
      <c r="H1073" t="s">
        <v>26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Q1073">
        <v>72.2</v>
      </c>
    </row>
    <row r="1074" spans="1:17">
      <c r="A1074" t="s">
        <v>1105</v>
      </c>
      <c r="B1074">
        <f>COUNTIF($A$2:A1074,A1074)</f>
        <v>1</v>
      </c>
      <c r="C1074" s="2">
        <v>45799</v>
      </c>
      <c r="D1074" t="s">
        <v>723</v>
      </c>
      <c r="E1074" t="s">
        <v>28</v>
      </c>
      <c r="F1074" t="s">
        <v>24</v>
      </c>
      <c r="G1074" t="s">
        <v>39</v>
      </c>
      <c r="H1074" t="s">
        <v>26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</row>
    <row r="1075" spans="1:17">
      <c r="A1075" t="s">
        <v>1106</v>
      </c>
      <c r="B1075">
        <f>COUNTIF($A$2:A1075,A1075)</f>
        <v>1</v>
      </c>
      <c r="C1075" s="2">
        <v>45710</v>
      </c>
      <c r="D1075" t="s">
        <v>723</v>
      </c>
      <c r="E1075" t="s">
        <v>32</v>
      </c>
      <c r="F1075" t="s">
        <v>19</v>
      </c>
      <c r="G1075" t="s">
        <v>25</v>
      </c>
      <c r="H1075" t="s">
        <v>26</v>
      </c>
      <c r="I1075">
        <v>1</v>
      </c>
      <c r="J1075">
        <v>1</v>
      </c>
      <c r="K1075">
        <v>1</v>
      </c>
      <c r="L1075">
        <v>1</v>
      </c>
      <c r="M1075">
        <v>331.53</v>
      </c>
      <c r="N1075">
        <v>2</v>
      </c>
      <c r="O1075">
        <v>0</v>
      </c>
      <c r="P1075">
        <v>4</v>
      </c>
      <c r="Q1075">
        <v>56.8</v>
      </c>
    </row>
    <row r="1076" spans="1:17">
      <c r="A1076" t="s">
        <v>1107</v>
      </c>
      <c r="B1076">
        <f>COUNTIF($A$2:A1076,A1076)</f>
        <v>1</v>
      </c>
      <c r="C1076" s="2">
        <v>45670</v>
      </c>
      <c r="D1076" t="s">
        <v>723</v>
      </c>
      <c r="E1076" t="s">
        <v>28</v>
      </c>
      <c r="F1076" t="s">
        <v>24</v>
      </c>
      <c r="G1076" t="s">
        <v>29</v>
      </c>
      <c r="H1076" t="s">
        <v>21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Q1076">
        <v>62.5</v>
      </c>
    </row>
    <row r="1077" spans="1:17">
      <c r="A1077" t="s">
        <v>1108</v>
      </c>
      <c r="B1077">
        <f>COUNTIF($A$2:A1077,A1077)</f>
        <v>1</v>
      </c>
      <c r="C1077" s="2">
        <v>45796</v>
      </c>
      <c r="D1077" t="s">
        <v>723</v>
      </c>
      <c r="E1077" t="s">
        <v>32</v>
      </c>
      <c r="F1077" t="s">
        <v>24</v>
      </c>
      <c r="G1077" t="s">
        <v>25</v>
      </c>
      <c r="H1077" t="s">
        <v>26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Q1077">
        <v>63.4</v>
      </c>
    </row>
    <row r="1078" spans="1:17">
      <c r="A1078" t="s">
        <v>1109</v>
      </c>
      <c r="B1078">
        <f>COUNTIF($A$2:A1078,A1078)</f>
        <v>1</v>
      </c>
      <c r="C1078" s="2">
        <v>45724</v>
      </c>
      <c r="D1078" t="s">
        <v>723</v>
      </c>
      <c r="E1078" t="s">
        <v>18</v>
      </c>
      <c r="F1078" t="s">
        <v>34</v>
      </c>
      <c r="G1078" t="s">
        <v>25</v>
      </c>
      <c r="H1078" t="s">
        <v>21</v>
      </c>
      <c r="I1078">
        <v>1</v>
      </c>
      <c r="J1078">
        <v>1</v>
      </c>
      <c r="K1078">
        <v>1</v>
      </c>
      <c r="L1078">
        <v>1</v>
      </c>
      <c r="M1078">
        <v>774.78</v>
      </c>
      <c r="N1078">
        <v>0</v>
      </c>
      <c r="O1078">
        <v>0</v>
      </c>
      <c r="P1078">
        <v>3</v>
      </c>
      <c r="Q1078">
        <v>46.8</v>
      </c>
    </row>
    <row r="1079" spans="1:17">
      <c r="A1079" t="s">
        <v>1110</v>
      </c>
      <c r="B1079">
        <f>COUNTIF($A$2:A1079,A1079)</f>
        <v>1</v>
      </c>
      <c r="C1079" s="2">
        <v>45767</v>
      </c>
      <c r="D1079" t="s">
        <v>723</v>
      </c>
      <c r="E1079" t="s">
        <v>32</v>
      </c>
      <c r="F1079" t="s">
        <v>24</v>
      </c>
      <c r="G1079" t="s">
        <v>25</v>
      </c>
      <c r="H1079" t="s">
        <v>26</v>
      </c>
      <c r="I1079">
        <v>1</v>
      </c>
      <c r="J1079">
        <v>1</v>
      </c>
      <c r="K1079">
        <v>1</v>
      </c>
      <c r="L1079">
        <v>1</v>
      </c>
      <c r="M1079">
        <v>422.02</v>
      </c>
      <c r="N1079">
        <v>0</v>
      </c>
      <c r="O1079">
        <v>0</v>
      </c>
      <c r="P1079">
        <v>8</v>
      </c>
      <c r="Q1079">
        <v>86.5</v>
      </c>
    </row>
    <row r="1080" spans="1:17">
      <c r="A1080" t="s">
        <v>1111</v>
      </c>
      <c r="B1080">
        <f>COUNTIF($A$2:A1080,A1080)</f>
        <v>1</v>
      </c>
      <c r="C1080" s="2">
        <v>45785</v>
      </c>
      <c r="D1080" t="s">
        <v>723</v>
      </c>
      <c r="E1080" t="s">
        <v>23</v>
      </c>
      <c r="F1080" t="s">
        <v>24</v>
      </c>
      <c r="G1080" t="s">
        <v>20</v>
      </c>
      <c r="H1080" t="s">
        <v>21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Q1080">
        <v>75.099999999999994</v>
      </c>
    </row>
    <row r="1081" spans="1:17">
      <c r="A1081" t="s">
        <v>1112</v>
      </c>
      <c r="B1081">
        <f>COUNTIF($A$2:A1081,A1081)</f>
        <v>1</v>
      </c>
      <c r="C1081" s="2">
        <v>45787</v>
      </c>
      <c r="D1081" t="s">
        <v>723</v>
      </c>
      <c r="E1081" t="s">
        <v>32</v>
      </c>
      <c r="F1081" t="s">
        <v>24</v>
      </c>
      <c r="G1081" t="s">
        <v>25</v>
      </c>
      <c r="H1081" t="s">
        <v>21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Q1081">
        <v>64.5</v>
      </c>
    </row>
    <row r="1082" spans="1:17">
      <c r="A1082" t="s">
        <v>1113</v>
      </c>
      <c r="B1082">
        <f>COUNTIF($A$2:A1082,A1082)</f>
        <v>1</v>
      </c>
      <c r="C1082" s="2">
        <v>45744</v>
      </c>
      <c r="D1082" t="s">
        <v>723</v>
      </c>
      <c r="E1082" t="s">
        <v>28</v>
      </c>
      <c r="F1082" t="s">
        <v>24</v>
      </c>
      <c r="G1082" t="s">
        <v>25</v>
      </c>
      <c r="H1082" t="s">
        <v>26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Q1082">
        <v>54.2</v>
      </c>
    </row>
    <row r="1083" spans="1:17">
      <c r="A1083" t="s">
        <v>1114</v>
      </c>
      <c r="B1083">
        <f>COUNTIF($A$2:A1083,A1083)</f>
        <v>1</v>
      </c>
      <c r="C1083" s="2">
        <v>45777</v>
      </c>
      <c r="D1083" t="s">
        <v>723</v>
      </c>
      <c r="E1083" t="s">
        <v>28</v>
      </c>
      <c r="F1083" t="s">
        <v>24</v>
      </c>
      <c r="G1083" t="s">
        <v>29</v>
      </c>
      <c r="H1083" t="s">
        <v>30</v>
      </c>
      <c r="I1083">
        <v>1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0</v>
      </c>
      <c r="Q1083">
        <v>84.1</v>
      </c>
    </row>
    <row r="1084" spans="1:17">
      <c r="A1084" t="s">
        <v>1115</v>
      </c>
      <c r="B1084">
        <f>COUNTIF($A$2:A1084,A1084)</f>
        <v>1</v>
      </c>
      <c r="C1084" s="2">
        <v>45696</v>
      </c>
      <c r="D1084" t="s">
        <v>723</v>
      </c>
      <c r="E1084" t="s">
        <v>18</v>
      </c>
      <c r="F1084" t="s">
        <v>24</v>
      </c>
      <c r="G1084" t="s">
        <v>25</v>
      </c>
      <c r="H1084" t="s">
        <v>21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Q1084">
        <v>49.1</v>
      </c>
    </row>
    <row r="1085" spans="1:17">
      <c r="A1085" t="s">
        <v>1116</v>
      </c>
      <c r="B1085">
        <f>COUNTIF($A$2:A1085,A1085)</f>
        <v>1</v>
      </c>
      <c r="C1085" s="2">
        <v>45723</v>
      </c>
      <c r="D1085" t="s">
        <v>723</v>
      </c>
      <c r="E1085" t="s">
        <v>32</v>
      </c>
      <c r="F1085" t="s">
        <v>24</v>
      </c>
      <c r="G1085" t="s">
        <v>39</v>
      </c>
      <c r="H1085" t="s">
        <v>30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Q1085">
        <v>92.7</v>
      </c>
    </row>
    <row r="1086" spans="1:17">
      <c r="A1086" t="s">
        <v>1117</v>
      </c>
      <c r="B1086">
        <f>COUNTIF($A$2:A1086,A1086)</f>
        <v>1</v>
      </c>
      <c r="C1086" s="2">
        <v>45798</v>
      </c>
      <c r="D1086" t="s">
        <v>723</v>
      </c>
      <c r="E1086" t="s">
        <v>32</v>
      </c>
      <c r="F1086" t="s">
        <v>24</v>
      </c>
      <c r="G1086" t="s">
        <v>41</v>
      </c>
      <c r="H1086" t="s">
        <v>21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1</v>
      </c>
      <c r="O1086">
        <v>0</v>
      </c>
      <c r="Q1086">
        <v>58.7</v>
      </c>
    </row>
    <row r="1087" spans="1:17">
      <c r="A1087" t="s">
        <v>1118</v>
      </c>
      <c r="B1087">
        <f>COUNTIF($A$2:A1087,A1087)</f>
        <v>1</v>
      </c>
      <c r="C1087" s="2">
        <v>45759</v>
      </c>
      <c r="D1087" t="s">
        <v>723</v>
      </c>
      <c r="E1087" t="s">
        <v>32</v>
      </c>
      <c r="F1087" t="s">
        <v>24</v>
      </c>
      <c r="G1087" t="s">
        <v>41</v>
      </c>
      <c r="H1087" t="s">
        <v>26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Q1087">
        <v>59.3</v>
      </c>
    </row>
    <row r="1088" spans="1:17">
      <c r="A1088" t="s">
        <v>1119</v>
      </c>
      <c r="B1088">
        <f>COUNTIF($A$2:A1088,A1088)</f>
        <v>1</v>
      </c>
      <c r="C1088" s="2">
        <v>45690</v>
      </c>
      <c r="D1088" t="s">
        <v>723</v>
      </c>
      <c r="E1088" t="s">
        <v>32</v>
      </c>
      <c r="F1088" t="s">
        <v>24</v>
      </c>
      <c r="G1088" t="s">
        <v>29</v>
      </c>
      <c r="H1088" t="s">
        <v>26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Q1088">
        <v>62</v>
      </c>
    </row>
    <row r="1089" spans="1:17">
      <c r="A1089" t="s">
        <v>1120</v>
      </c>
      <c r="B1089">
        <f>COUNTIF($A$2:A1089,A1089)</f>
        <v>1</v>
      </c>
      <c r="C1089" s="2">
        <v>45769</v>
      </c>
      <c r="D1089" t="s">
        <v>723</v>
      </c>
      <c r="E1089" t="s">
        <v>18</v>
      </c>
      <c r="F1089" t="s">
        <v>34</v>
      </c>
      <c r="G1089" t="s">
        <v>39</v>
      </c>
      <c r="H1089" t="s">
        <v>26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1</v>
      </c>
      <c r="O1089">
        <v>0</v>
      </c>
      <c r="Q1089">
        <v>60.3</v>
      </c>
    </row>
    <row r="1090" spans="1:17">
      <c r="A1090" t="s">
        <v>1121</v>
      </c>
      <c r="B1090">
        <f>COUNTIF($A$2:A1090,A1090)</f>
        <v>1</v>
      </c>
      <c r="C1090" s="2">
        <v>45696</v>
      </c>
      <c r="D1090" t="s">
        <v>723</v>
      </c>
      <c r="E1090" t="s">
        <v>18</v>
      </c>
      <c r="F1090" t="s">
        <v>24</v>
      </c>
      <c r="G1090" t="s">
        <v>41</v>
      </c>
      <c r="H1090" t="s">
        <v>21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Q1090">
        <v>70.5</v>
      </c>
    </row>
    <row r="1091" spans="1:17">
      <c r="A1091" t="s">
        <v>1122</v>
      </c>
      <c r="B1091">
        <f>COUNTIF($A$2:A1091,A1091)</f>
        <v>1</v>
      </c>
      <c r="C1091" s="2">
        <v>45681</v>
      </c>
      <c r="D1091" t="s">
        <v>723</v>
      </c>
      <c r="E1091" t="s">
        <v>32</v>
      </c>
      <c r="F1091" t="s">
        <v>19</v>
      </c>
      <c r="G1091" t="s">
        <v>20</v>
      </c>
      <c r="H1091" t="s">
        <v>26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Q1091">
        <v>36.799999999999997</v>
      </c>
    </row>
    <row r="1092" spans="1:17">
      <c r="A1092" t="s">
        <v>1123</v>
      </c>
      <c r="B1092">
        <f>COUNTIF($A$2:A1092,A1092)</f>
        <v>1</v>
      </c>
      <c r="C1092" s="2">
        <v>45789</v>
      </c>
      <c r="D1092" t="s">
        <v>723</v>
      </c>
      <c r="E1092" t="s">
        <v>32</v>
      </c>
      <c r="F1092" t="s">
        <v>24</v>
      </c>
      <c r="G1092" t="s">
        <v>29</v>
      </c>
      <c r="H1092" t="s">
        <v>21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Q1092">
        <v>73.2</v>
      </c>
    </row>
    <row r="1093" spans="1:17">
      <c r="A1093" t="s">
        <v>1124</v>
      </c>
      <c r="B1093">
        <f>COUNTIF($A$2:A1093,A1093)</f>
        <v>1</v>
      </c>
      <c r="C1093" s="2">
        <v>45746</v>
      </c>
      <c r="D1093" t="s">
        <v>723</v>
      </c>
      <c r="E1093" t="s">
        <v>18</v>
      </c>
      <c r="F1093" t="s">
        <v>24</v>
      </c>
      <c r="G1093" t="s">
        <v>25</v>
      </c>
      <c r="H1093" t="s">
        <v>21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Q1093">
        <v>70.099999999999994</v>
      </c>
    </row>
    <row r="1094" spans="1:17">
      <c r="A1094" t="s">
        <v>1125</v>
      </c>
      <c r="B1094">
        <f>COUNTIF($A$2:A1094,A1094)</f>
        <v>1</v>
      </c>
      <c r="C1094" s="2">
        <v>45659</v>
      </c>
      <c r="D1094" t="s">
        <v>723</v>
      </c>
      <c r="E1094" t="s">
        <v>32</v>
      </c>
      <c r="F1094" t="s">
        <v>19</v>
      </c>
      <c r="G1094" t="s">
        <v>29</v>
      </c>
      <c r="H1094" t="s">
        <v>21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Q1094">
        <v>76.400000000000006</v>
      </c>
    </row>
    <row r="1095" spans="1:17">
      <c r="A1095" t="s">
        <v>1126</v>
      </c>
      <c r="B1095">
        <f>COUNTIF($A$2:A1095,A1095)</f>
        <v>1</v>
      </c>
      <c r="C1095" s="2">
        <v>45737</v>
      </c>
      <c r="D1095" t="s">
        <v>723</v>
      </c>
      <c r="E1095" t="s">
        <v>32</v>
      </c>
      <c r="F1095" t="s">
        <v>34</v>
      </c>
      <c r="G1095" t="s">
        <v>20</v>
      </c>
      <c r="H1095" t="s">
        <v>21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Q1095">
        <v>46.4</v>
      </c>
    </row>
    <row r="1096" spans="1:17">
      <c r="A1096" t="s">
        <v>1127</v>
      </c>
      <c r="B1096">
        <f>COUNTIF($A$2:A1096,A1096)</f>
        <v>1</v>
      </c>
      <c r="C1096" s="2">
        <v>45682</v>
      </c>
      <c r="D1096" t="s">
        <v>723</v>
      </c>
      <c r="E1096" t="s">
        <v>23</v>
      </c>
      <c r="F1096" t="s">
        <v>24</v>
      </c>
      <c r="G1096" t="s">
        <v>25</v>
      </c>
      <c r="H1096" t="s">
        <v>26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1</v>
      </c>
      <c r="O1096">
        <v>0</v>
      </c>
      <c r="Q1096">
        <v>81.3</v>
      </c>
    </row>
    <row r="1097" spans="1:17">
      <c r="A1097" t="s">
        <v>1128</v>
      </c>
      <c r="B1097">
        <f>COUNTIF($A$2:A1097,A1097)</f>
        <v>1</v>
      </c>
      <c r="C1097" s="2">
        <v>45669</v>
      </c>
      <c r="D1097" t="s">
        <v>723</v>
      </c>
      <c r="E1097" t="s">
        <v>32</v>
      </c>
      <c r="F1097" t="s">
        <v>34</v>
      </c>
      <c r="G1097" t="s">
        <v>41</v>
      </c>
      <c r="H1097" t="s">
        <v>26</v>
      </c>
      <c r="I1097">
        <v>1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0</v>
      </c>
      <c r="Q1097">
        <v>55.3</v>
      </c>
    </row>
    <row r="1098" spans="1:17">
      <c r="A1098" t="s">
        <v>1129</v>
      </c>
      <c r="B1098">
        <f>COUNTIF($A$2:A1098,A1098)</f>
        <v>1</v>
      </c>
      <c r="C1098" s="2">
        <v>45734</v>
      </c>
      <c r="D1098" t="s">
        <v>723</v>
      </c>
      <c r="E1098" t="s">
        <v>28</v>
      </c>
      <c r="F1098" t="s">
        <v>19</v>
      </c>
      <c r="G1098" t="s">
        <v>39</v>
      </c>
      <c r="H1098" t="s">
        <v>26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Q1098">
        <v>44.7</v>
      </c>
    </row>
    <row r="1099" spans="1:17">
      <c r="A1099" t="s">
        <v>1130</v>
      </c>
      <c r="B1099">
        <f>COUNTIF($A$2:A1099,A1099)</f>
        <v>1</v>
      </c>
      <c r="C1099" s="2">
        <v>45742</v>
      </c>
      <c r="D1099" t="s">
        <v>723</v>
      </c>
      <c r="E1099" t="s">
        <v>28</v>
      </c>
      <c r="F1099" t="s">
        <v>24</v>
      </c>
      <c r="G1099" t="s">
        <v>29</v>
      </c>
      <c r="H1099" t="s">
        <v>21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Q1099">
        <v>67.2</v>
      </c>
    </row>
    <row r="1100" spans="1:17">
      <c r="A1100" t="s">
        <v>1131</v>
      </c>
      <c r="B1100">
        <f>COUNTIF($A$2:A1100,A1100)</f>
        <v>1</v>
      </c>
      <c r="C1100" s="2">
        <v>45766</v>
      </c>
      <c r="D1100" t="s">
        <v>723</v>
      </c>
      <c r="E1100" t="s">
        <v>18</v>
      </c>
      <c r="F1100" t="s">
        <v>24</v>
      </c>
      <c r="G1100" t="s">
        <v>29</v>
      </c>
      <c r="H1100" t="s">
        <v>21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7">
      <c r="A1101" t="s">
        <v>1132</v>
      </c>
      <c r="B1101">
        <f>COUNTIF($A$2:A1101,A1101)</f>
        <v>1</v>
      </c>
      <c r="C1101" s="2">
        <v>45764</v>
      </c>
      <c r="D1101" t="s">
        <v>723</v>
      </c>
      <c r="E1101" t="s">
        <v>28</v>
      </c>
      <c r="F1101" t="s">
        <v>24</v>
      </c>
      <c r="G1101" t="s">
        <v>25</v>
      </c>
      <c r="H1101" t="s">
        <v>30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1</v>
      </c>
      <c r="O1101">
        <v>0</v>
      </c>
      <c r="Q1101">
        <v>70.8</v>
      </c>
    </row>
    <row r="1102" spans="1:17">
      <c r="A1102" t="s">
        <v>1133</v>
      </c>
      <c r="B1102">
        <f>COUNTIF($A$2:A1102,A1102)</f>
        <v>1</v>
      </c>
      <c r="C1102" s="2">
        <v>45803</v>
      </c>
      <c r="D1102" t="s">
        <v>723</v>
      </c>
      <c r="E1102" t="s">
        <v>32</v>
      </c>
      <c r="F1102" t="s">
        <v>24</v>
      </c>
      <c r="G1102" t="s">
        <v>29</v>
      </c>
      <c r="H1102" t="s">
        <v>26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Q1102">
        <v>71.3</v>
      </c>
    </row>
    <row r="1103" spans="1:17">
      <c r="A1103" t="s">
        <v>1134</v>
      </c>
      <c r="B1103">
        <f>COUNTIF($A$2:A1103,A1103)</f>
        <v>1</v>
      </c>
      <c r="C1103" s="2">
        <v>45761</v>
      </c>
      <c r="D1103" t="s">
        <v>723</v>
      </c>
      <c r="E1103" t="s">
        <v>18</v>
      </c>
      <c r="F1103" t="s">
        <v>24</v>
      </c>
      <c r="G1103" t="s">
        <v>41</v>
      </c>
      <c r="H1103" t="s">
        <v>30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Q1103">
        <v>69.400000000000006</v>
      </c>
    </row>
    <row r="1104" spans="1:17">
      <c r="A1104" t="s">
        <v>1135</v>
      </c>
      <c r="B1104">
        <f>COUNTIF($A$2:A1104,A1104)</f>
        <v>1</v>
      </c>
      <c r="C1104" s="2">
        <v>45680</v>
      </c>
      <c r="D1104" t="s">
        <v>723</v>
      </c>
      <c r="E1104" t="s">
        <v>32</v>
      </c>
      <c r="F1104" t="s">
        <v>24</v>
      </c>
      <c r="G1104" t="s">
        <v>25</v>
      </c>
      <c r="H1104" t="s">
        <v>21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Q1104">
        <v>58.9</v>
      </c>
    </row>
    <row r="1105" spans="1:17">
      <c r="A1105" t="s">
        <v>1136</v>
      </c>
      <c r="B1105">
        <f>COUNTIF($A$2:A1105,A1105)</f>
        <v>1</v>
      </c>
      <c r="C1105" s="2">
        <v>45663</v>
      </c>
      <c r="D1105" t="s">
        <v>723</v>
      </c>
      <c r="E1105" t="s">
        <v>28</v>
      </c>
      <c r="F1105" t="s">
        <v>24</v>
      </c>
      <c r="G1105" t="s">
        <v>39</v>
      </c>
      <c r="H1105" t="s">
        <v>26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Q1105">
        <v>70.7</v>
      </c>
    </row>
    <row r="1106" spans="1:17">
      <c r="A1106" t="s">
        <v>1137</v>
      </c>
      <c r="B1106">
        <f>COUNTIF($A$2:A1106,A1106)</f>
        <v>1</v>
      </c>
      <c r="C1106" s="2">
        <v>45808</v>
      </c>
      <c r="D1106" t="s">
        <v>723</v>
      </c>
      <c r="E1106" t="s">
        <v>23</v>
      </c>
      <c r="F1106" t="s">
        <v>24</v>
      </c>
      <c r="G1106" t="s">
        <v>20</v>
      </c>
      <c r="H1106" t="s">
        <v>21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Q1106">
        <v>60.5</v>
      </c>
    </row>
    <row r="1107" spans="1:17">
      <c r="A1107" t="s">
        <v>1138</v>
      </c>
      <c r="B1107">
        <f>COUNTIF($A$2:A1107,A1107)</f>
        <v>1</v>
      </c>
      <c r="C1107" s="2">
        <v>45796</v>
      </c>
      <c r="D1107" t="s">
        <v>723</v>
      </c>
      <c r="E1107" t="s">
        <v>18</v>
      </c>
      <c r="F1107" t="s">
        <v>24</v>
      </c>
      <c r="G1107" t="s">
        <v>25</v>
      </c>
      <c r="H1107" t="s">
        <v>21</v>
      </c>
      <c r="I1107">
        <v>1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Q1107">
        <v>77.3</v>
      </c>
    </row>
    <row r="1108" spans="1:17">
      <c r="A1108" t="s">
        <v>1139</v>
      </c>
      <c r="B1108">
        <f>COUNTIF($A$2:A1108,A1108)</f>
        <v>1</v>
      </c>
      <c r="C1108" s="2">
        <v>45713</v>
      </c>
      <c r="D1108" t="s">
        <v>723</v>
      </c>
      <c r="E1108" t="s">
        <v>18</v>
      </c>
      <c r="F1108" t="s">
        <v>24</v>
      </c>
      <c r="G1108" t="s">
        <v>25</v>
      </c>
      <c r="H1108" t="s">
        <v>26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Q1108">
        <v>39.5</v>
      </c>
    </row>
    <row r="1109" spans="1:17">
      <c r="A1109" t="s">
        <v>1140</v>
      </c>
      <c r="B1109">
        <f>COUNTIF($A$2:A1109,A1109)</f>
        <v>1</v>
      </c>
      <c r="C1109" s="2">
        <v>45667</v>
      </c>
      <c r="D1109" t="s">
        <v>723</v>
      </c>
      <c r="E1109" t="s">
        <v>32</v>
      </c>
      <c r="F1109" t="s">
        <v>34</v>
      </c>
      <c r="G1109" t="s">
        <v>25</v>
      </c>
      <c r="H1109" t="s">
        <v>21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Q1109">
        <v>68.099999999999994</v>
      </c>
    </row>
    <row r="1110" spans="1:17">
      <c r="A1110" t="s">
        <v>1141</v>
      </c>
      <c r="B1110">
        <f>COUNTIF($A$2:A1110,A1110)</f>
        <v>1</v>
      </c>
      <c r="C1110" s="2">
        <v>45790</v>
      </c>
      <c r="D1110" t="s">
        <v>723</v>
      </c>
      <c r="E1110" t="s">
        <v>18</v>
      </c>
      <c r="F1110" t="s">
        <v>34</v>
      </c>
      <c r="G1110" t="s">
        <v>29</v>
      </c>
      <c r="H1110" t="s">
        <v>26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Q1110">
        <v>80.3</v>
      </c>
    </row>
    <row r="1111" spans="1:17">
      <c r="A1111" t="s">
        <v>1142</v>
      </c>
      <c r="B1111">
        <f>COUNTIF($A$2:A1111,A1111)</f>
        <v>1</v>
      </c>
      <c r="C1111" s="2">
        <v>45774</v>
      </c>
      <c r="D1111" t="s">
        <v>723</v>
      </c>
      <c r="E1111" t="s">
        <v>23</v>
      </c>
      <c r="F1111" t="s">
        <v>19</v>
      </c>
      <c r="G1111" t="s">
        <v>25</v>
      </c>
      <c r="H1111" t="s">
        <v>30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Q1111">
        <v>77.7</v>
      </c>
    </row>
    <row r="1112" spans="1:17">
      <c r="A1112" t="s">
        <v>1143</v>
      </c>
      <c r="B1112">
        <f>COUNTIF($A$2:A1112,A1112)</f>
        <v>1</v>
      </c>
      <c r="C1112" s="2">
        <v>45750</v>
      </c>
      <c r="D1112" t="s">
        <v>723</v>
      </c>
      <c r="E1112" t="s">
        <v>32</v>
      </c>
      <c r="F1112" t="s">
        <v>24</v>
      </c>
      <c r="G1112" t="s">
        <v>25</v>
      </c>
      <c r="H1112" t="s">
        <v>26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Q1112">
        <v>66.2</v>
      </c>
    </row>
    <row r="1113" spans="1:17">
      <c r="A1113" t="s">
        <v>1144</v>
      </c>
      <c r="B1113">
        <f>COUNTIF($A$2:A1113,A1113)</f>
        <v>1</v>
      </c>
      <c r="C1113" s="2">
        <v>45742</v>
      </c>
      <c r="D1113" t="s">
        <v>723</v>
      </c>
      <c r="E1113" t="s">
        <v>32</v>
      </c>
      <c r="F1113" t="s">
        <v>24</v>
      </c>
      <c r="G1113" t="s">
        <v>25</v>
      </c>
      <c r="H1113" t="s">
        <v>26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1</v>
      </c>
      <c r="O1113">
        <v>0</v>
      </c>
      <c r="Q1113">
        <v>43.9</v>
      </c>
    </row>
    <row r="1114" spans="1:17">
      <c r="A1114" t="s">
        <v>1145</v>
      </c>
      <c r="B1114">
        <f>COUNTIF($A$2:A1114,A1114)</f>
        <v>1</v>
      </c>
      <c r="C1114" s="2">
        <v>45688</v>
      </c>
      <c r="D1114" t="s">
        <v>723</v>
      </c>
      <c r="E1114" t="s">
        <v>32</v>
      </c>
      <c r="F1114" t="s">
        <v>24</v>
      </c>
      <c r="G1114" t="s">
        <v>25</v>
      </c>
      <c r="H1114" t="s">
        <v>21</v>
      </c>
      <c r="I1114">
        <v>1</v>
      </c>
      <c r="J1114">
        <v>1</v>
      </c>
      <c r="K1114">
        <v>1</v>
      </c>
      <c r="L1114">
        <v>0</v>
      </c>
      <c r="M1114">
        <v>0</v>
      </c>
      <c r="N1114">
        <v>2</v>
      </c>
      <c r="O1114">
        <v>0</v>
      </c>
      <c r="Q1114">
        <v>59.1</v>
      </c>
    </row>
    <row r="1115" spans="1:17">
      <c r="A1115" t="s">
        <v>1146</v>
      </c>
      <c r="B1115">
        <f>COUNTIF($A$2:A1115,A1115)</f>
        <v>1</v>
      </c>
      <c r="C1115" s="2">
        <v>45682</v>
      </c>
      <c r="D1115" t="s">
        <v>723</v>
      </c>
      <c r="E1115" t="s">
        <v>32</v>
      </c>
      <c r="F1115" t="s">
        <v>24</v>
      </c>
      <c r="G1115" t="s">
        <v>41</v>
      </c>
      <c r="H1115" t="s">
        <v>26</v>
      </c>
      <c r="I1115">
        <v>1</v>
      </c>
      <c r="J1115">
        <v>1</v>
      </c>
      <c r="K1115">
        <v>1</v>
      </c>
      <c r="L1115">
        <v>1</v>
      </c>
      <c r="M1115">
        <v>416.94</v>
      </c>
      <c r="N1115">
        <v>1</v>
      </c>
      <c r="O1115">
        <v>0</v>
      </c>
      <c r="P1115">
        <v>11</v>
      </c>
      <c r="Q1115">
        <v>67</v>
      </c>
    </row>
    <row r="1116" spans="1:17">
      <c r="A1116" t="s">
        <v>1147</v>
      </c>
      <c r="B1116">
        <f>COUNTIF($A$2:A1116,A1116)</f>
        <v>1</v>
      </c>
      <c r="C1116" s="2">
        <v>45694</v>
      </c>
      <c r="D1116" t="s">
        <v>723</v>
      </c>
      <c r="E1116" t="s">
        <v>23</v>
      </c>
      <c r="F1116" t="s">
        <v>24</v>
      </c>
      <c r="G1116" t="s">
        <v>39</v>
      </c>
      <c r="H1116" t="s">
        <v>21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Q1116">
        <v>47.9</v>
      </c>
    </row>
    <row r="1117" spans="1:17">
      <c r="A1117" t="s">
        <v>1148</v>
      </c>
      <c r="B1117">
        <f>COUNTIF($A$2:A1117,A1117)</f>
        <v>1</v>
      </c>
      <c r="C1117" s="2">
        <v>45726</v>
      </c>
      <c r="D1117" t="s">
        <v>723</v>
      </c>
      <c r="E1117" t="s">
        <v>28</v>
      </c>
      <c r="F1117" t="s">
        <v>24</v>
      </c>
      <c r="G1117" t="s">
        <v>29</v>
      </c>
      <c r="H1117" t="s">
        <v>26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Q1117">
        <v>41.5</v>
      </c>
    </row>
    <row r="1118" spans="1:17">
      <c r="A1118" t="s">
        <v>1149</v>
      </c>
      <c r="B1118">
        <f>COUNTIF($A$2:A1118,A1118)</f>
        <v>1</v>
      </c>
      <c r="C1118" s="2">
        <v>45683</v>
      </c>
      <c r="D1118" t="s">
        <v>723</v>
      </c>
      <c r="E1118" t="s">
        <v>23</v>
      </c>
      <c r="F1118" t="s">
        <v>24</v>
      </c>
      <c r="G1118" t="s">
        <v>25</v>
      </c>
      <c r="H1118" t="s">
        <v>21</v>
      </c>
      <c r="I1118">
        <v>1</v>
      </c>
      <c r="J1118">
        <v>1</v>
      </c>
      <c r="K1118">
        <v>1</v>
      </c>
      <c r="L1118">
        <v>0</v>
      </c>
      <c r="M1118">
        <v>0</v>
      </c>
      <c r="N1118">
        <v>3</v>
      </c>
      <c r="O1118">
        <v>0</v>
      </c>
      <c r="Q1118">
        <v>30.6</v>
      </c>
    </row>
    <row r="1119" spans="1:17">
      <c r="A1119" t="s">
        <v>1150</v>
      </c>
      <c r="B1119">
        <f>COUNTIF($A$2:A1119,A1119)</f>
        <v>1</v>
      </c>
      <c r="C1119" s="2">
        <v>45658</v>
      </c>
      <c r="D1119" t="s">
        <v>723</v>
      </c>
      <c r="E1119" t="s">
        <v>28</v>
      </c>
      <c r="F1119" t="s">
        <v>24</v>
      </c>
      <c r="G1119" t="s">
        <v>29</v>
      </c>
      <c r="H1119" t="s">
        <v>26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Q1119">
        <v>91.5</v>
      </c>
    </row>
    <row r="1120" spans="1:17">
      <c r="A1120" t="s">
        <v>1151</v>
      </c>
      <c r="B1120">
        <f>COUNTIF($A$2:A1120,A1120)</f>
        <v>1</v>
      </c>
      <c r="C1120" s="2">
        <v>45775</v>
      </c>
      <c r="D1120" t="s">
        <v>723</v>
      </c>
      <c r="E1120" t="s">
        <v>18</v>
      </c>
      <c r="F1120" t="s">
        <v>19</v>
      </c>
      <c r="G1120" t="s">
        <v>41</v>
      </c>
      <c r="H1120" t="s">
        <v>21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Q1120">
        <v>80.8</v>
      </c>
    </row>
    <row r="1121" spans="1:17">
      <c r="A1121" t="s">
        <v>1152</v>
      </c>
      <c r="B1121">
        <f>COUNTIF($A$2:A1121,A1121)</f>
        <v>1</v>
      </c>
      <c r="C1121" s="2">
        <v>45751</v>
      </c>
      <c r="D1121" t="s">
        <v>723</v>
      </c>
      <c r="E1121" t="s">
        <v>18</v>
      </c>
      <c r="F1121" t="s">
        <v>24</v>
      </c>
      <c r="G1121" t="s">
        <v>25</v>
      </c>
      <c r="H1121" t="s">
        <v>30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Q1121">
        <v>68.099999999999994</v>
      </c>
    </row>
    <row r="1122" spans="1:17">
      <c r="A1122" t="s">
        <v>1153</v>
      </c>
      <c r="B1122">
        <f>COUNTIF($A$2:A1122,A1122)</f>
        <v>1</v>
      </c>
      <c r="C1122" s="2">
        <v>45718</v>
      </c>
      <c r="D1122" t="s">
        <v>723</v>
      </c>
      <c r="E1122" t="s">
        <v>28</v>
      </c>
      <c r="F1122" t="s">
        <v>24</v>
      </c>
      <c r="G1122" t="s">
        <v>29</v>
      </c>
      <c r="H1122" t="s">
        <v>26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>
        <v>80.3</v>
      </c>
    </row>
    <row r="1123" spans="1:17">
      <c r="A1123" t="s">
        <v>1154</v>
      </c>
      <c r="B1123">
        <f>COUNTIF($A$2:A1123,A1123)</f>
        <v>1</v>
      </c>
      <c r="C1123" s="2">
        <v>45735</v>
      </c>
      <c r="D1123" t="s">
        <v>723</v>
      </c>
      <c r="E1123" t="s">
        <v>32</v>
      </c>
      <c r="F1123" t="s">
        <v>34</v>
      </c>
      <c r="G1123" t="s">
        <v>25</v>
      </c>
      <c r="H1123" t="s">
        <v>21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Q1123">
        <v>44.4</v>
      </c>
    </row>
    <row r="1124" spans="1:17">
      <c r="A1124" t="s">
        <v>1155</v>
      </c>
      <c r="B1124">
        <f>COUNTIF($A$2:A1124,A1124)</f>
        <v>1</v>
      </c>
      <c r="C1124" s="2">
        <v>45677</v>
      </c>
      <c r="D1124" t="s">
        <v>723</v>
      </c>
      <c r="E1124" t="s">
        <v>32</v>
      </c>
      <c r="F1124" t="s">
        <v>19</v>
      </c>
      <c r="G1124" t="s">
        <v>25</v>
      </c>
      <c r="H1124" t="s">
        <v>21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Q1124">
        <v>51.9</v>
      </c>
    </row>
    <row r="1125" spans="1:17">
      <c r="A1125" t="s">
        <v>1156</v>
      </c>
      <c r="B1125">
        <f>COUNTIF($A$2:A1125,A1125)</f>
        <v>1</v>
      </c>
      <c r="C1125" s="2">
        <v>45750</v>
      </c>
      <c r="D1125" t="s">
        <v>723</v>
      </c>
      <c r="E1125" t="s">
        <v>28</v>
      </c>
      <c r="F1125" t="s">
        <v>24</v>
      </c>
      <c r="G1125" t="s">
        <v>29</v>
      </c>
      <c r="H1125" t="s">
        <v>26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Q1125">
        <v>49.8</v>
      </c>
    </row>
    <row r="1126" spans="1:17">
      <c r="A1126" t="s">
        <v>1157</v>
      </c>
      <c r="B1126">
        <f>COUNTIF($A$2:A1126,A1126)</f>
        <v>1</v>
      </c>
      <c r="C1126" s="2">
        <v>45668</v>
      </c>
      <c r="D1126" t="s">
        <v>723</v>
      </c>
      <c r="E1126" t="s">
        <v>28</v>
      </c>
      <c r="F1126" t="s">
        <v>19</v>
      </c>
      <c r="G1126" t="s">
        <v>41</v>
      </c>
      <c r="H1126" t="s">
        <v>26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3</v>
      </c>
      <c r="O1126">
        <v>0</v>
      </c>
      <c r="Q1126">
        <v>62.1</v>
      </c>
    </row>
    <row r="1127" spans="1:17">
      <c r="A1127" t="s">
        <v>1158</v>
      </c>
      <c r="B1127">
        <f>COUNTIF($A$2:A1127,A1127)</f>
        <v>1</v>
      </c>
      <c r="C1127" s="2">
        <v>45690</v>
      </c>
      <c r="D1127" t="s">
        <v>723</v>
      </c>
      <c r="E1127" t="s">
        <v>23</v>
      </c>
      <c r="F1127" t="s">
        <v>19</v>
      </c>
      <c r="G1127" t="s">
        <v>41</v>
      </c>
      <c r="H1127" t="s">
        <v>21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Q1127">
        <v>91.3</v>
      </c>
    </row>
    <row r="1128" spans="1:17">
      <c r="A1128" t="s">
        <v>1159</v>
      </c>
      <c r="B1128">
        <f>COUNTIF($A$2:A1128,A1128)</f>
        <v>1</v>
      </c>
      <c r="C1128" s="2">
        <v>45748</v>
      </c>
      <c r="D1128" t="s">
        <v>723</v>
      </c>
      <c r="E1128" t="s">
        <v>32</v>
      </c>
      <c r="F1128" t="s">
        <v>24</v>
      </c>
      <c r="G1128" t="s">
        <v>25</v>
      </c>
      <c r="H1128" t="s">
        <v>21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Q1128">
        <v>66.400000000000006</v>
      </c>
    </row>
    <row r="1129" spans="1:17">
      <c r="A1129" t="s">
        <v>1160</v>
      </c>
      <c r="B1129">
        <f>COUNTIF($A$2:A1129,A1129)</f>
        <v>1</v>
      </c>
      <c r="C1129" s="2">
        <v>45799</v>
      </c>
      <c r="D1129" t="s">
        <v>723</v>
      </c>
      <c r="E1129" t="s">
        <v>28</v>
      </c>
      <c r="F1129" t="s">
        <v>24</v>
      </c>
      <c r="G1129" t="s">
        <v>25</v>
      </c>
      <c r="H1129" t="s">
        <v>21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Q1129">
        <v>41.5</v>
      </c>
    </row>
    <row r="1130" spans="1:17">
      <c r="A1130" t="s">
        <v>1161</v>
      </c>
      <c r="B1130">
        <f>COUNTIF($A$2:A1130,A1130)</f>
        <v>1</v>
      </c>
      <c r="C1130" s="2">
        <v>45708</v>
      </c>
      <c r="D1130" t="s">
        <v>723</v>
      </c>
      <c r="E1130" t="s">
        <v>23</v>
      </c>
      <c r="F1130" t="s">
        <v>24</v>
      </c>
      <c r="G1130" t="s">
        <v>25</v>
      </c>
      <c r="H1130" t="s">
        <v>21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Q1130">
        <v>77.099999999999994</v>
      </c>
    </row>
    <row r="1131" spans="1:17">
      <c r="A1131" t="s">
        <v>1162</v>
      </c>
      <c r="B1131">
        <f>COUNTIF($A$2:A1131,A1131)</f>
        <v>1</v>
      </c>
      <c r="C1131" s="2">
        <v>45737</v>
      </c>
      <c r="D1131" t="s">
        <v>723</v>
      </c>
      <c r="E1131" t="s">
        <v>23</v>
      </c>
      <c r="F1131" t="s">
        <v>24</v>
      </c>
      <c r="G1131" t="s">
        <v>25</v>
      </c>
      <c r="H1131" t="s">
        <v>26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Q1131">
        <v>63.2</v>
      </c>
    </row>
    <row r="1132" spans="1:17">
      <c r="A1132" t="s">
        <v>1163</v>
      </c>
      <c r="B1132">
        <f>COUNTIF($A$2:A1132,A1132)</f>
        <v>1</v>
      </c>
      <c r="C1132" s="2">
        <v>45778</v>
      </c>
      <c r="D1132" t="s">
        <v>723</v>
      </c>
      <c r="E1132" t="s">
        <v>23</v>
      </c>
      <c r="F1132" t="s">
        <v>19</v>
      </c>
      <c r="G1132" t="s">
        <v>39</v>
      </c>
      <c r="H1132" t="s">
        <v>26</v>
      </c>
      <c r="I1132">
        <v>1</v>
      </c>
      <c r="J1132">
        <v>1</v>
      </c>
      <c r="K1132">
        <v>1</v>
      </c>
      <c r="L1132">
        <v>0</v>
      </c>
      <c r="M1132">
        <v>0</v>
      </c>
      <c r="N1132">
        <v>3</v>
      </c>
      <c r="O1132">
        <v>0</v>
      </c>
      <c r="Q1132">
        <v>75.7</v>
      </c>
    </row>
    <row r="1133" spans="1:17">
      <c r="A1133" t="s">
        <v>1164</v>
      </c>
      <c r="B1133">
        <f>COUNTIF($A$2:A1133,A1133)</f>
        <v>1</v>
      </c>
      <c r="C1133" s="2">
        <v>45663</v>
      </c>
      <c r="D1133" t="s">
        <v>723</v>
      </c>
      <c r="E1133" t="s">
        <v>23</v>
      </c>
      <c r="F1133" t="s">
        <v>24</v>
      </c>
      <c r="G1133" t="s">
        <v>29</v>
      </c>
      <c r="H1133" t="s">
        <v>21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Q1133">
        <v>62.9</v>
      </c>
    </row>
    <row r="1134" spans="1:17">
      <c r="A1134" t="s">
        <v>1165</v>
      </c>
      <c r="B1134">
        <f>COUNTIF($A$2:A1134,A1134)</f>
        <v>1</v>
      </c>
      <c r="C1134" s="2">
        <v>45759</v>
      </c>
      <c r="D1134" t="s">
        <v>723</v>
      </c>
      <c r="E1134" t="s">
        <v>18</v>
      </c>
      <c r="F1134" t="s">
        <v>19</v>
      </c>
      <c r="G1134" t="s">
        <v>29</v>
      </c>
      <c r="H1134" t="s">
        <v>30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3</v>
      </c>
      <c r="O1134">
        <v>0</v>
      </c>
      <c r="Q1134">
        <v>64.599999999999994</v>
      </c>
    </row>
    <row r="1135" spans="1:17">
      <c r="A1135" t="s">
        <v>1166</v>
      </c>
      <c r="B1135">
        <f>COUNTIF($A$2:A1135,A1135)</f>
        <v>1</v>
      </c>
      <c r="C1135" s="2">
        <v>45765</v>
      </c>
      <c r="D1135" t="s">
        <v>723</v>
      </c>
      <c r="E1135" t="s">
        <v>18</v>
      </c>
      <c r="F1135" t="s">
        <v>24</v>
      </c>
      <c r="H1135" t="s">
        <v>21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Q1135">
        <v>76.599999999999994</v>
      </c>
    </row>
    <row r="1136" spans="1:17">
      <c r="A1136" t="s">
        <v>1167</v>
      </c>
      <c r="B1136">
        <f>COUNTIF($A$2:A1136,A1136)</f>
        <v>1</v>
      </c>
      <c r="C1136" s="2">
        <v>45740</v>
      </c>
      <c r="D1136" t="s">
        <v>723</v>
      </c>
      <c r="E1136" t="s">
        <v>28</v>
      </c>
      <c r="F1136" t="s">
        <v>24</v>
      </c>
      <c r="G1136" t="s">
        <v>41</v>
      </c>
      <c r="H1136" t="s">
        <v>21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>
        <v>74.8</v>
      </c>
    </row>
    <row r="1137" spans="1:17">
      <c r="A1137" t="s">
        <v>1168</v>
      </c>
      <c r="B1137">
        <f>COUNTIF($A$2:A1137,A1137)</f>
        <v>1</v>
      </c>
      <c r="C1137" s="2">
        <v>45734</v>
      </c>
      <c r="D1137" t="s">
        <v>723</v>
      </c>
      <c r="E1137" t="s">
        <v>28</v>
      </c>
      <c r="F1137" t="s">
        <v>19</v>
      </c>
      <c r="G1137" t="s">
        <v>20</v>
      </c>
      <c r="H1137" t="s">
        <v>30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2</v>
      </c>
      <c r="O1137">
        <v>0</v>
      </c>
      <c r="Q1137">
        <v>38.1</v>
      </c>
    </row>
    <row r="1138" spans="1:17">
      <c r="A1138" t="s">
        <v>1169</v>
      </c>
      <c r="B1138">
        <f>COUNTIF($A$2:A1138,A1138)</f>
        <v>1</v>
      </c>
      <c r="C1138" s="2">
        <v>45777</v>
      </c>
      <c r="D1138" t="s">
        <v>723</v>
      </c>
      <c r="E1138" t="s">
        <v>32</v>
      </c>
      <c r="F1138" t="s">
        <v>34</v>
      </c>
      <c r="G1138" t="s">
        <v>29</v>
      </c>
      <c r="H1138" t="s">
        <v>21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Q1138">
        <v>60.2</v>
      </c>
    </row>
    <row r="1139" spans="1:17">
      <c r="A1139" t="s">
        <v>1170</v>
      </c>
      <c r="B1139">
        <f>COUNTIF($A$2:A1139,A1139)</f>
        <v>1</v>
      </c>
      <c r="C1139" s="2">
        <v>45682</v>
      </c>
      <c r="D1139" t="s">
        <v>723</v>
      </c>
      <c r="E1139" t="s">
        <v>23</v>
      </c>
      <c r="F1139" t="s">
        <v>24</v>
      </c>
      <c r="G1139" t="s">
        <v>20</v>
      </c>
      <c r="H1139" t="s">
        <v>26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Q1139">
        <v>73.5</v>
      </c>
    </row>
    <row r="1140" spans="1:17">
      <c r="A1140" t="s">
        <v>1171</v>
      </c>
      <c r="B1140">
        <f>COUNTIF($A$2:A1140,A1140)</f>
        <v>1</v>
      </c>
      <c r="C1140" s="2">
        <v>45757</v>
      </c>
      <c r="D1140" t="s">
        <v>723</v>
      </c>
      <c r="E1140" t="s">
        <v>32</v>
      </c>
      <c r="F1140" t="s">
        <v>24</v>
      </c>
      <c r="G1140" t="s">
        <v>25</v>
      </c>
      <c r="H1140" t="s">
        <v>26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Q1140">
        <v>70.900000000000006</v>
      </c>
    </row>
    <row r="1141" spans="1:17">
      <c r="A1141" t="s">
        <v>1172</v>
      </c>
      <c r="B1141">
        <f>COUNTIF($A$2:A1141,A1141)</f>
        <v>1</v>
      </c>
      <c r="C1141" s="2">
        <v>45667</v>
      </c>
      <c r="D1141" t="s">
        <v>723</v>
      </c>
      <c r="E1141" t="s">
        <v>23</v>
      </c>
      <c r="F1141" t="s">
        <v>24</v>
      </c>
      <c r="G1141" t="s">
        <v>41</v>
      </c>
      <c r="H1141" t="s">
        <v>26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>
        <v>63.7</v>
      </c>
    </row>
    <row r="1142" spans="1:17">
      <c r="A1142" t="s">
        <v>1173</v>
      </c>
      <c r="B1142">
        <f>COUNTIF($A$2:A1142,A1142)</f>
        <v>1</v>
      </c>
      <c r="C1142" s="2">
        <v>45699</v>
      </c>
      <c r="D1142" t="s">
        <v>723</v>
      </c>
      <c r="E1142" t="s">
        <v>32</v>
      </c>
      <c r="F1142" t="s">
        <v>24</v>
      </c>
      <c r="G1142" t="s">
        <v>29</v>
      </c>
      <c r="H1142" t="s">
        <v>26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Q1142">
        <v>86.5</v>
      </c>
    </row>
    <row r="1143" spans="1:17">
      <c r="A1143" t="s">
        <v>1174</v>
      </c>
      <c r="B1143">
        <f>COUNTIF($A$2:A1143,A1143)</f>
        <v>1</v>
      </c>
      <c r="C1143" s="2">
        <v>45778</v>
      </c>
      <c r="D1143" t="s">
        <v>723</v>
      </c>
      <c r="E1143" t="s">
        <v>28</v>
      </c>
      <c r="F1143" t="s">
        <v>24</v>
      </c>
      <c r="G1143" t="s">
        <v>41</v>
      </c>
      <c r="H1143" t="s">
        <v>21</v>
      </c>
      <c r="I1143">
        <v>1</v>
      </c>
      <c r="J1143">
        <v>1</v>
      </c>
      <c r="K1143">
        <v>1</v>
      </c>
      <c r="L1143">
        <v>1</v>
      </c>
      <c r="M1143">
        <v>921.72</v>
      </c>
      <c r="N1143">
        <v>3</v>
      </c>
      <c r="O1143">
        <v>0</v>
      </c>
      <c r="P1143">
        <v>7</v>
      </c>
      <c r="Q1143">
        <v>74.599999999999994</v>
      </c>
    </row>
    <row r="1144" spans="1:17">
      <c r="A1144" t="s">
        <v>1175</v>
      </c>
      <c r="B1144">
        <f>COUNTIF($A$2:A1144,A1144)</f>
        <v>1</v>
      </c>
      <c r="C1144" s="2">
        <v>45675</v>
      </c>
      <c r="D1144" t="s">
        <v>723</v>
      </c>
      <c r="E1144" t="s">
        <v>28</v>
      </c>
      <c r="F1144" t="s">
        <v>24</v>
      </c>
      <c r="G1144" t="s">
        <v>25</v>
      </c>
      <c r="H1144" t="s">
        <v>26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Q1144">
        <v>46.6</v>
      </c>
    </row>
    <row r="1145" spans="1:17">
      <c r="A1145" t="s">
        <v>1176</v>
      </c>
      <c r="B1145">
        <f>COUNTIF($A$2:A1145,A1145)</f>
        <v>1</v>
      </c>
      <c r="C1145" s="2">
        <v>45659</v>
      </c>
      <c r="D1145" t="s">
        <v>723</v>
      </c>
      <c r="E1145" t="s">
        <v>18</v>
      </c>
      <c r="F1145" t="s">
        <v>24</v>
      </c>
      <c r="G1145" t="s">
        <v>29</v>
      </c>
      <c r="H1145" t="s">
        <v>26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Q1145">
        <v>61.2</v>
      </c>
    </row>
    <row r="1146" spans="1:17">
      <c r="A1146" t="s">
        <v>1177</v>
      </c>
      <c r="B1146">
        <f>COUNTIF($A$2:A1146,A1146)</f>
        <v>1</v>
      </c>
      <c r="C1146" s="2">
        <v>45788</v>
      </c>
      <c r="D1146" t="s">
        <v>723</v>
      </c>
      <c r="E1146" t="s">
        <v>23</v>
      </c>
      <c r="F1146" t="s">
        <v>24</v>
      </c>
      <c r="G1146" t="s">
        <v>25</v>
      </c>
      <c r="H1146" t="s">
        <v>26</v>
      </c>
      <c r="I1146">
        <v>1</v>
      </c>
      <c r="J1146">
        <v>1</v>
      </c>
      <c r="K1146">
        <v>1</v>
      </c>
      <c r="L1146">
        <v>1</v>
      </c>
      <c r="M1146">
        <v>290.39</v>
      </c>
      <c r="N1146">
        <v>0</v>
      </c>
      <c r="O1146">
        <v>0</v>
      </c>
      <c r="P1146">
        <v>4</v>
      </c>
      <c r="Q1146">
        <v>54.4</v>
      </c>
    </row>
    <row r="1147" spans="1:17">
      <c r="A1147" t="s">
        <v>1178</v>
      </c>
      <c r="B1147">
        <f>COUNTIF($A$2:A1147,A1147)</f>
        <v>1</v>
      </c>
      <c r="C1147" s="2">
        <v>45738</v>
      </c>
      <c r="D1147" t="s">
        <v>723</v>
      </c>
      <c r="E1147" t="s">
        <v>18</v>
      </c>
      <c r="F1147" t="s">
        <v>24</v>
      </c>
      <c r="G1147" t="s">
        <v>39</v>
      </c>
      <c r="H1147" t="s">
        <v>26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0</v>
      </c>
      <c r="Q1147">
        <v>72</v>
      </c>
    </row>
    <row r="1148" spans="1:17">
      <c r="A1148" t="s">
        <v>1179</v>
      </c>
      <c r="B1148">
        <f>COUNTIF($A$2:A1148,A1148)</f>
        <v>1</v>
      </c>
      <c r="C1148" s="2">
        <v>45779</v>
      </c>
      <c r="D1148" t="s">
        <v>723</v>
      </c>
      <c r="E1148" t="s">
        <v>32</v>
      </c>
      <c r="F1148" t="s">
        <v>24</v>
      </c>
      <c r="G1148" t="s">
        <v>41</v>
      </c>
      <c r="H1148" t="s">
        <v>30</v>
      </c>
      <c r="I1148">
        <v>1</v>
      </c>
      <c r="J1148">
        <v>1</v>
      </c>
      <c r="K1148">
        <v>1</v>
      </c>
      <c r="L1148">
        <v>1</v>
      </c>
      <c r="M1148">
        <v>1858.85</v>
      </c>
      <c r="N1148">
        <v>0</v>
      </c>
      <c r="O1148">
        <v>0</v>
      </c>
      <c r="P1148">
        <v>8</v>
      </c>
      <c r="Q1148">
        <v>88.6</v>
      </c>
    </row>
    <row r="1149" spans="1:17">
      <c r="A1149" t="s">
        <v>1180</v>
      </c>
      <c r="B1149">
        <f>COUNTIF($A$2:A1149,A1149)</f>
        <v>1</v>
      </c>
      <c r="C1149" s="2">
        <v>45803</v>
      </c>
      <c r="D1149" t="s">
        <v>723</v>
      </c>
      <c r="E1149" t="s">
        <v>28</v>
      </c>
      <c r="F1149" t="s">
        <v>19</v>
      </c>
      <c r="H1149" t="s">
        <v>21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Q1149">
        <v>77.599999999999994</v>
      </c>
    </row>
    <row r="1150" spans="1:17">
      <c r="A1150" t="s">
        <v>1181</v>
      </c>
      <c r="B1150">
        <f>COUNTIF($A$2:A1150,A1150)</f>
        <v>1</v>
      </c>
      <c r="C1150" s="2">
        <v>45729</v>
      </c>
      <c r="D1150" t="s">
        <v>723</v>
      </c>
      <c r="E1150" t="s">
        <v>32</v>
      </c>
      <c r="F1150" t="s">
        <v>24</v>
      </c>
      <c r="G1150" t="s">
        <v>25</v>
      </c>
      <c r="H1150" t="s">
        <v>21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Q1150">
        <v>44.3</v>
      </c>
    </row>
    <row r="1151" spans="1:17">
      <c r="A1151" t="s">
        <v>1182</v>
      </c>
      <c r="B1151">
        <f>COUNTIF($A$2:A1151,A1151)</f>
        <v>1</v>
      </c>
      <c r="C1151" s="2">
        <v>45794</v>
      </c>
      <c r="D1151" t="s">
        <v>723</v>
      </c>
      <c r="E1151" t="s">
        <v>32</v>
      </c>
      <c r="F1151" t="s">
        <v>19</v>
      </c>
      <c r="G1151" t="s">
        <v>29</v>
      </c>
      <c r="H1151" t="s">
        <v>26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Q1151">
        <v>49</v>
      </c>
    </row>
    <row r="1152" spans="1:17">
      <c r="A1152" t="s">
        <v>1183</v>
      </c>
      <c r="B1152">
        <f>COUNTIF($A$2:A1152,A1152)</f>
        <v>1</v>
      </c>
      <c r="C1152" s="2">
        <v>45729</v>
      </c>
      <c r="D1152" t="s">
        <v>723</v>
      </c>
      <c r="E1152" t="s">
        <v>18</v>
      </c>
      <c r="F1152" t="s">
        <v>19</v>
      </c>
      <c r="G1152" t="s">
        <v>39</v>
      </c>
      <c r="H1152" t="s">
        <v>30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Q1152">
        <v>53.9</v>
      </c>
    </row>
    <row r="1153" spans="1:17">
      <c r="A1153" t="s">
        <v>1184</v>
      </c>
      <c r="B1153">
        <f>COUNTIF($A$2:A1153,A1153)</f>
        <v>1</v>
      </c>
      <c r="C1153" s="2">
        <v>45699</v>
      </c>
      <c r="D1153" t="s">
        <v>723</v>
      </c>
      <c r="E1153" t="s">
        <v>28</v>
      </c>
      <c r="F1153" t="s">
        <v>19</v>
      </c>
      <c r="G1153" t="s">
        <v>25</v>
      </c>
      <c r="H1153" t="s">
        <v>21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Q1153">
        <v>69</v>
      </c>
    </row>
    <row r="1154" spans="1:17">
      <c r="A1154" t="s">
        <v>1185</v>
      </c>
      <c r="B1154">
        <f>COUNTIF($A$2:A1154,A1154)</f>
        <v>1</v>
      </c>
      <c r="C1154" s="2">
        <v>45717</v>
      </c>
      <c r="D1154" t="s">
        <v>723</v>
      </c>
      <c r="E1154" t="s">
        <v>23</v>
      </c>
      <c r="F1154" t="s">
        <v>24</v>
      </c>
      <c r="G1154" t="s">
        <v>41</v>
      </c>
      <c r="H1154" t="s">
        <v>26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Q1154">
        <v>37.4</v>
      </c>
    </row>
    <row r="1155" spans="1:17">
      <c r="A1155" t="s">
        <v>1186</v>
      </c>
      <c r="B1155">
        <f>COUNTIF($A$2:A1155,A1155)</f>
        <v>1</v>
      </c>
      <c r="C1155" s="2">
        <v>45762</v>
      </c>
      <c r="D1155" t="s">
        <v>723</v>
      </c>
      <c r="E1155" t="s">
        <v>23</v>
      </c>
      <c r="F1155" t="s">
        <v>24</v>
      </c>
      <c r="G1155" t="s">
        <v>25</v>
      </c>
      <c r="H1155" t="s">
        <v>21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Q1155">
        <v>59</v>
      </c>
    </row>
    <row r="1156" spans="1:17">
      <c r="A1156" t="s">
        <v>1187</v>
      </c>
      <c r="B1156">
        <f>COUNTIF($A$2:A1156,A1156)</f>
        <v>1</v>
      </c>
      <c r="C1156" s="2">
        <v>45690</v>
      </c>
      <c r="D1156" t="s">
        <v>723</v>
      </c>
      <c r="E1156" t="s">
        <v>28</v>
      </c>
      <c r="F1156" t="s">
        <v>24</v>
      </c>
      <c r="G1156" t="s">
        <v>25</v>
      </c>
      <c r="H1156" t="s">
        <v>30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Q1156">
        <v>60.8</v>
      </c>
    </row>
    <row r="1157" spans="1:17">
      <c r="A1157" t="s">
        <v>1188</v>
      </c>
      <c r="B1157">
        <f>COUNTIF($A$2:A1157,A1157)</f>
        <v>1</v>
      </c>
      <c r="C1157" s="2">
        <v>45796</v>
      </c>
      <c r="D1157" t="s">
        <v>723</v>
      </c>
      <c r="E1157" t="s">
        <v>32</v>
      </c>
      <c r="F1157" t="s">
        <v>24</v>
      </c>
      <c r="G1157" t="s">
        <v>20</v>
      </c>
      <c r="H1157" t="s">
        <v>26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>
        <v>57.5</v>
      </c>
    </row>
    <row r="1158" spans="1:17">
      <c r="A1158" t="s">
        <v>1189</v>
      </c>
      <c r="B1158">
        <f>COUNTIF($A$2:A1158,A1158)</f>
        <v>1</v>
      </c>
      <c r="C1158" s="2">
        <v>45662</v>
      </c>
      <c r="D1158" t="s">
        <v>723</v>
      </c>
      <c r="E1158" t="s">
        <v>23</v>
      </c>
      <c r="F1158" t="s">
        <v>24</v>
      </c>
      <c r="G1158" t="s">
        <v>39</v>
      </c>
      <c r="H1158" t="s">
        <v>26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Q1158">
        <v>84.2</v>
      </c>
    </row>
    <row r="1159" spans="1:17">
      <c r="A1159" t="s">
        <v>1190</v>
      </c>
      <c r="B1159">
        <f>COUNTIF($A$2:A1159,A1159)</f>
        <v>1</v>
      </c>
      <c r="C1159" s="2">
        <v>45724</v>
      </c>
      <c r="D1159" t="s">
        <v>723</v>
      </c>
      <c r="E1159" t="s">
        <v>32</v>
      </c>
      <c r="F1159" t="s">
        <v>24</v>
      </c>
      <c r="G1159" t="s">
        <v>29</v>
      </c>
      <c r="H1159" t="s">
        <v>26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Q1159">
        <v>27.4</v>
      </c>
    </row>
    <row r="1160" spans="1:17">
      <c r="A1160" t="s">
        <v>1191</v>
      </c>
      <c r="B1160">
        <f>COUNTIF($A$2:A1160,A1160)</f>
        <v>1</v>
      </c>
      <c r="C1160" s="2">
        <v>45728</v>
      </c>
      <c r="D1160" t="s">
        <v>723</v>
      </c>
      <c r="E1160" t="s">
        <v>23</v>
      </c>
      <c r="F1160" t="s">
        <v>24</v>
      </c>
      <c r="G1160" t="s">
        <v>20</v>
      </c>
      <c r="H1160" t="s">
        <v>21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Q1160">
        <v>67.599999999999994</v>
      </c>
    </row>
    <row r="1161" spans="1:17">
      <c r="A1161" t="s">
        <v>1192</v>
      </c>
      <c r="B1161">
        <f>COUNTIF($A$2:A1161,A1161)</f>
        <v>1</v>
      </c>
      <c r="C1161" s="2">
        <v>45681</v>
      </c>
      <c r="D1161" t="s">
        <v>723</v>
      </c>
      <c r="E1161" t="s">
        <v>23</v>
      </c>
      <c r="F1161" t="s">
        <v>24</v>
      </c>
      <c r="G1161" t="s">
        <v>25</v>
      </c>
      <c r="H1161" t="s">
        <v>26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Q1161">
        <v>68.400000000000006</v>
      </c>
    </row>
    <row r="1162" spans="1:17">
      <c r="A1162" t="s">
        <v>1193</v>
      </c>
      <c r="B1162">
        <f>COUNTIF($A$2:A1162,A1162)</f>
        <v>1</v>
      </c>
      <c r="C1162" s="2">
        <v>45799</v>
      </c>
      <c r="D1162" t="s">
        <v>723</v>
      </c>
      <c r="E1162" t="s">
        <v>32</v>
      </c>
      <c r="F1162" t="s">
        <v>24</v>
      </c>
      <c r="G1162" t="s">
        <v>29</v>
      </c>
      <c r="H1162" t="s">
        <v>21</v>
      </c>
      <c r="I1162">
        <v>1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0</v>
      </c>
      <c r="Q1162">
        <v>66.5</v>
      </c>
    </row>
    <row r="1163" spans="1:17">
      <c r="A1163" t="s">
        <v>1194</v>
      </c>
      <c r="B1163">
        <f>COUNTIF($A$2:A1163,A1163)</f>
        <v>1</v>
      </c>
      <c r="C1163" s="2">
        <v>45743</v>
      </c>
      <c r="D1163" t="s">
        <v>723</v>
      </c>
      <c r="E1163" t="s">
        <v>32</v>
      </c>
      <c r="F1163" t="s">
        <v>24</v>
      </c>
      <c r="G1163" t="s">
        <v>29</v>
      </c>
      <c r="H1163" t="s">
        <v>26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38.200000000000003</v>
      </c>
    </row>
    <row r="1164" spans="1:17">
      <c r="A1164" t="s">
        <v>1195</v>
      </c>
      <c r="B1164">
        <f>COUNTIF($A$2:A1164,A1164)</f>
        <v>1</v>
      </c>
      <c r="C1164" s="2">
        <v>45659</v>
      </c>
      <c r="D1164" t="s">
        <v>723</v>
      </c>
      <c r="E1164" t="s">
        <v>23</v>
      </c>
      <c r="F1164" t="s">
        <v>24</v>
      </c>
      <c r="G1164" t="s">
        <v>41</v>
      </c>
      <c r="H1164" t="s">
        <v>26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Q1164">
        <v>66.7</v>
      </c>
    </row>
    <row r="1165" spans="1:17">
      <c r="A1165" t="s">
        <v>1196</v>
      </c>
      <c r="B1165">
        <f>COUNTIF($A$2:A1165,A1165)</f>
        <v>1</v>
      </c>
      <c r="C1165" s="2">
        <v>45712</v>
      </c>
      <c r="D1165" t="s">
        <v>723</v>
      </c>
      <c r="E1165" t="s">
        <v>18</v>
      </c>
      <c r="F1165" t="s">
        <v>24</v>
      </c>
      <c r="G1165" t="s">
        <v>29</v>
      </c>
      <c r="H1165" t="s">
        <v>26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Q1165">
        <v>73.7</v>
      </c>
    </row>
    <row r="1166" spans="1:17">
      <c r="A1166" t="s">
        <v>1197</v>
      </c>
      <c r="B1166">
        <f>COUNTIF($A$2:A1166,A1166)</f>
        <v>1</v>
      </c>
      <c r="C1166" s="2">
        <v>45717</v>
      </c>
      <c r="D1166" t="s">
        <v>723</v>
      </c>
      <c r="E1166" t="s">
        <v>23</v>
      </c>
      <c r="F1166" t="s">
        <v>19</v>
      </c>
      <c r="G1166" t="s">
        <v>25</v>
      </c>
      <c r="H1166" t="s">
        <v>21</v>
      </c>
      <c r="I1166">
        <v>1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Q1166">
        <v>63.9</v>
      </c>
    </row>
    <row r="1167" spans="1:17">
      <c r="A1167" t="s">
        <v>1198</v>
      </c>
      <c r="B1167">
        <f>COUNTIF($A$2:A1167,A1167)</f>
        <v>1</v>
      </c>
      <c r="C1167" s="2">
        <v>45742</v>
      </c>
      <c r="D1167" t="s">
        <v>723</v>
      </c>
      <c r="E1167" t="s">
        <v>32</v>
      </c>
      <c r="F1167" t="s">
        <v>34</v>
      </c>
      <c r="G1167" t="s">
        <v>25</v>
      </c>
      <c r="H1167" t="s">
        <v>21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Q1167">
        <v>82.6</v>
      </c>
    </row>
    <row r="1168" spans="1:17">
      <c r="A1168" t="s">
        <v>1199</v>
      </c>
      <c r="B1168">
        <f>COUNTIF($A$2:A1168,A1168)</f>
        <v>1</v>
      </c>
      <c r="C1168" s="2">
        <v>45802</v>
      </c>
      <c r="D1168" t="s">
        <v>723</v>
      </c>
      <c r="E1168" t="s">
        <v>28</v>
      </c>
      <c r="F1168" t="s">
        <v>24</v>
      </c>
      <c r="G1168" t="s">
        <v>29</v>
      </c>
      <c r="H1168" t="s">
        <v>26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Q1168">
        <v>58.3</v>
      </c>
    </row>
    <row r="1169" spans="1:17">
      <c r="A1169" t="s">
        <v>1200</v>
      </c>
      <c r="B1169">
        <f>COUNTIF($A$2:A1169,A1169)</f>
        <v>1</v>
      </c>
      <c r="C1169" s="2">
        <v>45713</v>
      </c>
      <c r="D1169" t="s">
        <v>723</v>
      </c>
      <c r="E1169" t="s">
        <v>23</v>
      </c>
      <c r="F1169" t="s">
        <v>24</v>
      </c>
      <c r="G1169" t="s">
        <v>39</v>
      </c>
      <c r="H1169" t="s">
        <v>30</v>
      </c>
      <c r="I1169">
        <v>1</v>
      </c>
      <c r="J1169">
        <v>1</v>
      </c>
      <c r="K1169">
        <v>1</v>
      </c>
      <c r="L1169">
        <v>1</v>
      </c>
      <c r="M1169">
        <v>1547.06</v>
      </c>
      <c r="N1169">
        <v>0</v>
      </c>
      <c r="O1169">
        <v>1</v>
      </c>
      <c r="P1169">
        <v>2</v>
      </c>
      <c r="Q1169">
        <v>72.900000000000006</v>
      </c>
    </row>
    <row r="1170" spans="1:17">
      <c r="A1170" t="s">
        <v>1201</v>
      </c>
      <c r="B1170">
        <f>COUNTIF($A$2:A1170,A1170)</f>
        <v>1</v>
      </c>
      <c r="C1170" s="2">
        <v>45739</v>
      </c>
      <c r="D1170" t="s">
        <v>723</v>
      </c>
      <c r="E1170" t="s">
        <v>32</v>
      </c>
      <c r="F1170" t="s">
        <v>24</v>
      </c>
      <c r="G1170" t="s">
        <v>41</v>
      </c>
      <c r="H1170" t="s">
        <v>26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2</v>
      </c>
      <c r="O1170">
        <v>0</v>
      </c>
      <c r="Q1170">
        <v>53.5</v>
      </c>
    </row>
    <row r="1171" spans="1:17">
      <c r="A1171" t="s">
        <v>1202</v>
      </c>
      <c r="B1171">
        <f>COUNTIF($A$2:A1171,A1171)</f>
        <v>1</v>
      </c>
      <c r="C1171" s="2">
        <v>45768</v>
      </c>
      <c r="D1171" t="s">
        <v>723</v>
      </c>
      <c r="E1171" t="s">
        <v>23</v>
      </c>
      <c r="F1171" t="s">
        <v>24</v>
      </c>
      <c r="G1171" t="s">
        <v>39</v>
      </c>
      <c r="H1171" t="s">
        <v>26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Q1171">
        <v>54.8</v>
      </c>
    </row>
    <row r="1172" spans="1:17">
      <c r="A1172" t="s">
        <v>1203</v>
      </c>
      <c r="B1172">
        <f>COUNTIF($A$2:A1172,A1172)</f>
        <v>1</v>
      </c>
      <c r="C1172" s="2">
        <v>45798</v>
      </c>
      <c r="D1172" t="s">
        <v>723</v>
      </c>
      <c r="E1172" t="s">
        <v>18</v>
      </c>
      <c r="F1172" t="s">
        <v>24</v>
      </c>
      <c r="G1172" t="s">
        <v>25</v>
      </c>
      <c r="H1172" t="s">
        <v>30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Q1172">
        <v>69.5</v>
      </c>
    </row>
    <row r="1173" spans="1:17">
      <c r="A1173" t="s">
        <v>1204</v>
      </c>
      <c r="B1173">
        <f>COUNTIF($A$2:A1173,A1173)</f>
        <v>1</v>
      </c>
      <c r="C1173" s="2">
        <v>45772</v>
      </c>
      <c r="D1173" t="s">
        <v>723</v>
      </c>
      <c r="E1173" t="s">
        <v>18</v>
      </c>
      <c r="F1173" t="s">
        <v>19</v>
      </c>
      <c r="G1173" t="s">
        <v>41</v>
      </c>
      <c r="H1173" t="s">
        <v>26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Q1173">
        <v>71.3</v>
      </c>
    </row>
    <row r="1174" spans="1:17">
      <c r="A1174" t="s">
        <v>1205</v>
      </c>
      <c r="B1174">
        <f>COUNTIF($A$2:A1174,A1174)</f>
        <v>1</v>
      </c>
      <c r="C1174" s="2">
        <v>45800</v>
      </c>
      <c r="D1174" t="s">
        <v>723</v>
      </c>
      <c r="E1174" t="s">
        <v>23</v>
      </c>
      <c r="F1174" t="s">
        <v>24</v>
      </c>
      <c r="G1174" t="s">
        <v>39</v>
      </c>
      <c r="H1174" t="s">
        <v>21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Q1174">
        <v>57.5</v>
      </c>
    </row>
    <row r="1175" spans="1:17">
      <c r="A1175" t="s">
        <v>1206</v>
      </c>
      <c r="B1175">
        <f>COUNTIF($A$2:A1175,A1175)</f>
        <v>1</v>
      </c>
      <c r="C1175" s="2">
        <v>45734</v>
      </c>
      <c r="D1175" t="s">
        <v>723</v>
      </c>
      <c r="E1175" t="s">
        <v>32</v>
      </c>
      <c r="F1175" t="s">
        <v>24</v>
      </c>
      <c r="G1175" t="s">
        <v>20</v>
      </c>
      <c r="H1175" t="s">
        <v>26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4</v>
      </c>
      <c r="O1175">
        <v>0</v>
      </c>
      <c r="Q1175">
        <v>50.9</v>
      </c>
    </row>
    <row r="1176" spans="1:17">
      <c r="A1176" t="s">
        <v>1207</v>
      </c>
      <c r="B1176">
        <f>COUNTIF($A$2:A1176,A1176)</f>
        <v>1</v>
      </c>
      <c r="C1176" s="2">
        <v>45660</v>
      </c>
      <c r="D1176" t="s">
        <v>723</v>
      </c>
      <c r="E1176" t="s">
        <v>32</v>
      </c>
      <c r="F1176" t="s">
        <v>34</v>
      </c>
      <c r="G1176" t="s">
        <v>25</v>
      </c>
      <c r="H1176" t="s">
        <v>26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Q1176">
        <v>69.3</v>
      </c>
    </row>
    <row r="1177" spans="1:17">
      <c r="A1177" t="s">
        <v>1208</v>
      </c>
      <c r="B1177">
        <f>COUNTIF($A$2:A1177,A1177)</f>
        <v>1</v>
      </c>
      <c r="C1177" s="2">
        <v>45696</v>
      </c>
      <c r="D1177" t="s">
        <v>723</v>
      </c>
      <c r="E1177" t="s">
        <v>23</v>
      </c>
      <c r="F1177" t="s">
        <v>19</v>
      </c>
      <c r="G1177" t="s">
        <v>25</v>
      </c>
      <c r="H1177" t="s">
        <v>26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Q1177">
        <v>50.1</v>
      </c>
    </row>
    <row r="1178" spans="1:17">
      <c r="A1178" t="s">
        <v>1209</v>
      </c>
      <c r="B1178">
        <f>COUNTIF($A$2:A1178,A1178)</f>
        <v>1</v>
      </c>
      <c r="C1178" s="2">
        <v>45692</v>
      </c>
      <c r="D1178" t="s">
        <v>723</v>
      </c>
      <c r="E1178" t="s">
        <v>28</v>
      </c>
      <c r="G1178" t="s">
        <v>29</v>
      </c>
      <c r="H1178" t="s">
        <v>21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Q1178">
        <v>69.7</v>
      </c>
    </row>
    <row r="1179" spans="1:17">
      <c r="A1179" t="s">
        <v>1210</v>
      </c>
      <c r="B1179">
        <f>COUNTIF($A$2:A1179,A1179)</f>
        <v>1</v>
      </c>
      <c r="C1179" s="2">
        <v>45673</v>
      </c>
      <c r="D1179" t="s">
        <v>723</v>
      </c>
      <c r="E1179" t="s">
        <v>18</v>
      </c>
      <c r="F1179" t="s">
        <v>24</v>
      </c>
      <c r="G1179" t="s">
        <v>29</v>
      </c>
      <c r="H1179" t="s">
        <v>26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Q1179">
        <v>63.5</v>
      </c>
    </row>
    <row r="1180" spans="1:17">
      <c r="A1180" t="s">
        <v>1211</v>
      </c>
      <c r="B1180">
        <f>COUNTIF($A$2:A1180,A1180)</f>
        <v>1</v>
      </c>
      <c r="C1180" s="2">
        <v>45751</v>
      </c>
      <c r="D1180" t="s">
        <v>723</v>
      </c>
      <c r="E1180" t="s">
        <v>23</v>
      </c>
      <c r="F1180" t="s">
        <v>19</v>
      </c>
      <c r="G1180" t="s">
        <v>29</v>
      </c>
      <c r="H1180" t="s">
        <v>26</v>
      </c>
      <c r="I1180">
        <v>1</v>
      </c>
      <c r="J1180">
        <v>1</v>
      </c>
      <c r="K1180">
        <v>1</v>
      </c>
      <c r="L1180">
        <v>1</v>
      </c>
      <c r="M1180">
        <v>265.58999999999997</v>
      </c>
      <c r="N1180">
        <v>1</v>
      </c>
      <c r="O1180">
        <v>0</v>
      </c>
      <c r="P1180">
        <v>8</v>
      </c>
      <c r="Q1180">
        <v>80.400000000000006</v>
      </c>
    </row>
    <row r="1181" spans="1:17">
      <c r="A1181" t="s">
        <v>1212</v>
      </c>
      <c r="B1181">
        <f>COUNTIF($A$2:A1181,A1181)</f>
        <v>1</v>
      </c>
      <c r="C1181" s="2">
        <v>45680</v>
      </c>
      <c r="D1181" t="s">
        <v>723</v>
      </c>
      <c r="E1181" t="s">
        <v>18</v>
      </c>
      <c r="F1181" t="s">
        <v>19</v>
      </c>
      <c r="G1181" t="s">
        <v>29</v>
      </c>
      <c r="H1181" t="s">
        <v>26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Q1181">
        <v>58.9</v>
      </c>
    </row>
    <row r="1182" spans="1:17">
      <c r="A1182" t="s">
        <v>1213</v>
      </c>
      <c r="B1182">
        <f>COUNTIF($A$2:A1182,A1182)</f>
        <v>1</v>
      </c>
      <c r="C1182" s="2">
        <v>45738</v>
      </c>
      <c r="D1182" t="s">
        <v>723</v>
      </c>
      <c r="E1182" t="s">
        <v>32</v>
      </c>
      <c r="F1182" t="s">
        <v>19</v>
      </c>
      <c r="G1182" t="s">
        <v>29</v>
      </c>
      <c r="H1182" t="s">
        <v>26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Q1182">
        <v>56.8</v>
      </c>
    </row>
    <row r="1183" spans="1:17">
      <c r="A1183" t="s">
        <v>1214</v>
      </c>
      <c r="B1183">
        <f>COUNTIF($A$2:A1183,A1183)</f>
        <v>1</v>
      </c>
      <c r="C1183" s="2">
        <v>45690</v>
      </c>
      <c r="D1183" t="s">
        <v>723</v>
      </c>
      <c r="E1183" t="s">
        <v>28</v>
      </c>
      <c r="F1183" t="s">
        <v>34</v>
      </c>
      <c r="G1183" t="s">
        <v>41</v>
      </c>
      <c r="H1183" t="s">
        <v>30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Q1183">
        <v>73.900000000000006</v>
      </c>
    </row>
    <row r="1184" spans="1:17">
      <c r="A1184" t="s">
        <v>1215</v>
      </c>
      <c r="B1184">
        <f>COUNTIF($A$2:A1184,A1184)</f>
        <v>1</v>
      </c>
      <c r="C1184" s="2">
        <v>45688</v>
      </c>
      <c r="D1184" t="s">
        <v>723</v>
      </c>
      <c r="E1184" t="s">
        <v>18</v>
      </c>
      <c r="F1184" t="s">
        <v>19</v>
      </c>
      <c r="G1184" t="s">
        <v>29</v>
      </c>
      <c r="H1184" t="s">
        <v>26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Q1184">
        <v>76.3</v>
      </c>
    </row>
    <row r="1185" spans="1:17">
      <c r="A1185" t="s">
        <v>1216</v>
      </c>
      <c r="B1185">
        <f>COUNTIF($A$2:A1185,A1185)</f>
        <v>1</v>
      </c>
      <c r="C1185" s="2">
        <v>45804</v>
      </c>
      <c r="D1185" t="s">
        <v>723</v>
      </c>
      <c r="E1185" t="s">
        <v>23</v>
      </c>
      <c r="F1185" t="s">
        <v>24</v>
      </c>
      <c r="G1185" t="s">
        <v>25</v>
      </c>
      <c r="H1185" t="s">
        <v>21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Q1185">
        <v>56.9</v>
      </c>
    </row>
    <row r="1186" spans="1:17">
      <c r="A1186" t="s">
        <v>1217</v>
      </c>
      <c r="B1186">
        <f>COUNTIF($A$2:A1186,A1186)</f>
        <v>1</v>
      </c>
      <c r="C1186" s="2">
        <v>45784</v>
      </c>
      <c r="D1186" t="s">
        <v>723</v>
      </c>
      <c r="E1186" t="s">
        <v>18</v>
      </c>
      <c r="F1186" t="s">
        <v>24</v>
      </c>
      <c r="G1186" t="s">
        <v>25</v>
      </c>
      <c r="H1186" t="s">
        <v>30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2</v>
      </c>
      <c r="O1186">
        <v>0</v>
      </c>
      <c r="Q1186">
        <v>49.4</v>
      </c>
    </row>
    <row r="1187" spans="1:17">
      <c r="A1187" t="s">
        <v>1218</v>
      </c>
      <c r="B1187">
        <f>COUNTIF($A$2:A1187,A1187)</f>
        <v>1</v>
      </c>
      <c r="C1187" s="2">
        <v>45785</v>
      </c>
      <c r="D1187" t="s">
        <v>723</v>
      </c>
      <c r="E1187" t="s">
        <v>18</v>
      </c>
      <c r="F1187" t="s">
        <v>19</v>
      </c>
      <c r="G1187" t="s">
        <v>29</v>
      </c>
      <c r="H1187" t="s">
        <v>21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Q1187">
        <v>86.7</v>
      </c>
    </row>
    <row r="1188" spans="1:17">
      <c r="A1188" t="s">
        <v>1219</v>
      </c>
      <c r="B1188">
        <f>COUNTIF($A$2:A1188,A1188)</f>
        <v>1</v>
      </c>
      <c r="C1188" s="2">
        <v>45672</v>
      </c>
      <c r="D1188" t="s">
        <v>723</v>
      </c>
      <c r="E1188" t="s">
        <v>23</v>
      </c>
      <c r="F1188" t="s">
        <v>19</v>
      </c>
      <c r="G1188" t="s">
        <v>20</v>
      </c>
      <c r="H1188" t="s">
        <v>26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3</v>
      </c>
      <c r="O1188">
        <v>0</v>
      </c>
      <c r="Q1188">
        <v>69</v>
      </c>
    </row>
    <row r="1189" spans="1:17">
      <c r="A1189" t="s">
        <v>1220</v>
      </c>
      <c r="B1189">
        <f>COUNTIF($A$2:A1189,A1189)</f>
        <v>1</v>
      </c>
      <c r="C1189" s="2">
        <v>45675</v>
      </c>
      <c r="D1189" t="s">
        <v>723</v>
      </c>
      <c r="E1189" t="s">
        <v>18</v>
      </c>
      <c r="F1189" t="s">
        <v>24</v>
      </c>
      <c r="G1189" t="s">
        <v>29</v>
      </c>
      <c r="H1189" t="s">
        <v>26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Q1189">
        <v>84.5</v>
      </c>
    </row>
    <row r="1190" spans="1:17">
      <c r="A1190" t="s">
        <v>1221</v>
      </c>
      <c r="B1190">
        <f>COUNTIF($A$2:A1190,A1190)</f>
        <v>1</v>
      </c>
      <c r="C1190" s="2">
        <v>45763</v>
      </c>
      <c r="D1190" t="s">
        <v>723</v>
      </c>
      <c r="E1190" t="s">
        <v>28</v>
      </c>
      <c r="G1190" t="s">
        <v>39</v>
      </c>
      <c r="H1190" t="s">
        <v>26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Q1190">
        <v>66.3</v>
      </c>
    </row>
    <row r="1191" spans="1:17">
      <c r="A1191" t="s">
        <v>1222</v>
      </c>
      <c r="B1191">
        <f>COUNTIF($A$2:A1191,A1191)</f>
        <v>1</v>
      </c>
      <c r="C1191" s="2">
        <v>45704</v>
      </c>
      <c r="D1191" t="s">
        <v>723</v>
      </c>
      <c r="E1191" t="s">
        <v>28</v>
      </c>
      <c r="F1191" t="s">
        <v>19</v>
      </c>
      <c r="G1191" t="s">
        <v>29</v>
      </c>
      <c r="H1191" t="s">
        <v>26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Q1191">
        <v>52.2</v>
      </c>
    </row>
    <row r="1192" spans="1:17">
      <c r="A1192" t="s">
        <v>1223</v>
      </c>
      <c r="B1192">
        <f>COUNTIF($A$2:A1192,A1192)</f>
        <v>1</v>
      </c>
      <c r="C1192" s="2">
        <v>45764</v>
      </c>
      <c r="D1192" t="s">
        <v>723</v>
      </c>
      <c r="E1192" t="s">
        <v>32</v>
      </c>
      <c r="F1192" t="s">
        <v>19</v>
      </c>
      <c r="G1192" t="s">
        <v>39</v>
      </c>
      <c r="H1192" t="s">
        <v>30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0</v>
      </c>
      <c r="Q1192">
        <v>81.2</v>
      </c>
    </row>
    <row r="1193" spans="1:17">
      <c r="A1193" t="s">
        <v>1224</v>
      </c>
      <c r="B1193">
        <f>COUNTIF($A$2:A1193,A1193)</f>
        <v>1</v>
      </c>
      <c r="C1193" s="2">
        <v>45777</v>
      </c>
      <c r="D1193" t="s">
        <v>723</v>
      </c>
      <c r="E1193" t="s">
        <v>32</v>
      </c>
      <c r="F1193" t="s">
        <v>24</v>
      </c>
      <c r="G1193" t="s">
        <v>25</v>
      </c>
      <c r="H1193" t="s">
        <v>21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Q1193">
        <v>53.9</v>
      </c>
    </row>
    <row r="1194" spans="1:17">
      <c r="A1194" t="s">
        <v>1225</v>
      </c>
      <c r="B1194">
        <f>COUNTIF($A$2:A1194,A1194)</f>
        <v>1</v>
      </c>
      <c r="C1194" s="2">
        <v>45686</v>
      </c>
      <c r="D1194" t="s">
        <v>723</v>
      </c>
      <c r="E1194" t="s">
        <v>23</v>
      </c>
      <c r="F1194" t="s">
        <v>24</v>
      </c>
      <c r="G1194" t="s">
        <v>41</v>
      </c>
      <c r="H1194" t="s">
        <v>30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Q1194">
        <v>39.1</v>
      </c>
    </row>
    <row r="1195" spans="1:17">
      <c r="A1195" t="s">
        <v>1226</v>
      </c>
      <c r="B1195">
        <f>COUNTIF($A$2:A1195,A1195)</f>
        <v>1</v>
      </c>
      <c r="C1195" s="2">
        <v>45668</v>
      </c>
      <c r="D1195" t="s">
        <v>723</v>
      </c>
      <c r="E1195" t="s">
        <v>18</v>
      </c>
      <c r="F1195" t="s">
        <v>24</v>
      </c>
      <c r="G1195" t="s">
        <v>41</v>
      </c>
      <c r="H1195" t="s">
        <v>21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Q1195">
        <v>57.3</v>
      </c>
    </row>
    <row r="1196" spans="1:17">
      <c r="A1196" t="s">
        <v>1227</v>
      </c>
      <c r="B1196">
        <f>COUNTIF($A$2:A1196,A1196)</f>
        <v>1</v>
      </c>
      <c r="C1196" s="2">
        <v>45755</v>
      </c>
      <c r="D1196" t="s">
        <v>723</v>
      </c>
      <c r="E1196" t="s">
        <v>28</v>
      </c>
      <c r="F1196" t="s">
        <v>19</v>
      </c>
      <c r="G1196" t="s">
        <v>29</v>
      </c>
      <c r="H1196" t="s">
        <v>30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Q1196">
        <v>65.900000000000006</v>
      </c>
    </row>
    <row r="1197" spans="1:17">
      <c r="A1197" t="s">
        <v>1228</v>
      </c>
      <c r="B1197">
        <f>COUNTIF($A$2:A1197,A1197)</f>
        <v>1</v>
      </c>
      <c r="C1197" s="2">
        <v>45710</v>
      </c>
      <c r="D1197" t="s">
        <v>723</v>
      </c>
      <c r="E1197" t="s">
        <v>18</v>
      </c>
      <c r="G1197" t="s">
        <v>41</v>
      </c>
      <c r="H1197" t="s">
        <v>26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Q1197">
        <v>34.200000000000003</v>
      </c>
    </row>
    <row r="1198" spans="1:17">
      <c r="A1198" t="s">
        <v>1229</v>
      </c>
      <c r="B1198">
        <f>COUNTIF($A$2:A1198,A1198)</f>
        <v>1</v>
      </c>
      <c r="C1198" s="2">
        <v>45739</v>
      </c>
      <c r="D1198" t="s">
        <v>723</v>
      </c>
      <c r="E1198" t="s">
        <v>32</v>
      </c>
      <c r="F1198" t="s">
        <v>24</v>
      </c>
      <c r="G1198" t="s">
        <v>25</v>
      </c>
      <c r="H1198" t="s">
        <v>26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Q1198">
        <v>47.2</v>
      </c>
    </row>
    <row r="1199" spans="1:17">
      <c r="A1199" t="s">
        <v>1230</v>
      </c>
      <c r="B1199">
        <f>COUNTIF($A$2:A1199,A1199)</f>
        <v>1</v>
      </c>
      <c r="C1199" s="2">
        <v>45800</v>
      </c>
      <c r="D1199" t="s">
        <v>723</v>
      </c>
      <c r="E1199" t="s">
        <v>32</v>
      </c>
      <c r="F1199" t="s">
        <v>34</v>
      </c>
      <c r="G1199" t="s">
        <v>29</v>
      </c>
      <c r="H1199" t="s">
        <v>26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Q1199">
        <v>55</v>
      </c>
    </row>
    <row r="1200" spans="1:17">
      <c r="A1200" t="s">
        <v>1231</v>
      </c>
      <c r="B1200">
        <f>COUNTIF($A$2:A1200,A1200)</f>
        <v>1</v>
      </c>
      <c r="C1200" s="2">
        <v>45774</v>
      </c>
      <c r="D1200" t="s">
        <v>723</v>
      </c>
      <c r="E1200" t="s">
        <v>23</v>
      </c>
      <c r="F1200" t="s">
        <v>24</v>
      </c>
      <c r="G1200" t="s">
        <v>39</v>
      </c>
      <c r="H1200" t="s">
        <v>21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Q1200">
        <v>76.400000000000006</v>
      </c>
    </row>
    <row r="1201" spans="1:17">
      <c r="A1201" t="s">
        <v>1232</v>
      </c>
      <c r="B1201">
        <f>COUNTIF($A$2:A1201,A1201)</f>
        <v>1</v>
      </c>
      <c r="C1201" s="2">
        <v>45803</v>
      </c>
      <c r="D1201" t="s">
        <v>723</v>
      </c>
      <c r="E1201" t="s">
        <v>18</v>
      </c>
      <c r="F1201" t="s">
        <v>24</v>
      </c>
      <c r="G1201" t="s">
        <v>39</v>
      </c>
      <c r="H1201" t="s">
        <v>26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Q1201">
        <v>70.8</v>
      </c>
    </row>
    <row r="1202" spans="1:17">
      <c r="A1202" t="s">
        <v>1233</v>
      </c>
      <c r="B1202">
        <f>COUNTIF($A$2:A1202,A1202)</f>
        <v>1</v>
      </c>
      <c r="C1202" s="2">
        <v>45722</v>
      </c>
      <c r="D1202" t="s">
        <v>723</v>
      </c>
      <c r="E1202" t="s">
        <v>28</v>
      </c>
      <c r="F1202" t="s">
        <v>24</v>
      </c>
      <c r="G1202" t="s">
        <v>29</v>
      </c>
      <c r="H1202" t="s">
        <v>21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1</v>
      </c>
      <c r="O1202">
        <v>0</v>
      </c>
      <c r="Q1202">
        <v>58</v>
      </c>
    </row>
    <row r="1203" spans="1:17">
      <c r="A1203" t="s">
        <v>1234</v>
      </c>
      <c r="B1203">
        <f>COUNTIF($A$2:A1203,A1203)</f>
        <v>1</v>
      </c>
      <c r="C1203" s="2">
        <v>45750</v>
      </c>
      <c r="D1203" t="s">
        <v>723</v>
      </c>
      <c r="E1203" t="s">
        <v>23</v>
      </c>
      <c r="F1203" t="s">
        <v>24</v>
      </c>
      <c r="G1203" t="s">
        <v>25</v>
      </c>
      <c r="H1203" t="s">
        <v>21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0</v>
      </c>
      <c r="Q1203">
        <v>70.8</v>
      </c>
    </row>
    <row r="1204" spans="1:17">
      <c r="A1204" t="s">
        <v>1235</v>
      </c>
      <c r="B1204">
        <f>COUNTIF($A$2:A1204,A1204)</f>
        <v>1</v>
      </c>
      <c r="C1204" s="2">
        <v>45689</v>
      </c>
      <c r="D1204" t="s">
        <v>723</v>
      </c>
      <c r="E1204" t="s">
        <v>28</v>
      </c>
      <c r="F1204" t="s">
        <v>19</v>
      </c>
      <c r="G1204" t="s">
        <v>29</v>
      </c>
      <c r="H1204" t="s">
        <v>26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3</v>
      </c>
      <c r="O1204">
        <v>0</v>
      </c>
      <c r="Q1204">
        <v>60</v>
      </c>
    </row>
    <row r="1205" spans="1:17">
      <c r="A1205" t="s">
        <v>1236</v>
      </c>
      <c r="B1205">
        <f>COUNTIF($A$2:A1205,A1205)</f>
        <v>1</v>
      </c>
      <c r="C1205" s="2">
        <v>45778</v>
      </c>
      <c r="D1205" t="s">
        <v>723</v>
      </c>
      <c r="E1205" t="s">
        <v>23</v>
      </c>
      <c r="F1205" t="s">
        <v>24</v>
      </c>
      <c r="G1205" t="s">
        <v>39</v>
      </c>
      <c r="H1205" t="s">
        <v>30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3</v>
      </c>
      <c r="O1205">
        <v>0</v>
      </c>
      <c r="Q1205">
        <v>58.1</v>
      </c>
    </row>
    <row r="1206" spans="1:17">
      <c r="A1206" t="s">
        <v>1237</v>
      </c>
      <c r="B1206">
        <f>COUNTIF($A$2:A1206,A1206)</f>
        <v>1</v>
      </c>
      <c r="C1206" s="2">
        <v>45760</v>
      </c>
      <c r="D1206" t="s">
        <v>723</v>
      </c>
      <c r="E1206" t="s">
        <v>18</v>
      </c>
      <c r="F1206" t="s">
        <v>24</v>
      </c>
      <c r="G1206" t="s">
        <v>41</v>
      </c>
      <c r="H1206" t="s">
        <v>30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Q1206">
        <v>59.7</v>
      </c>
    </row>
    <row r="1207" spans="1:17">
      <c r="A1207" t="s">
        <v>1238</v>
      </c>
      <c r="B1207">
        <f>COUNTIF($A$2:A1207,A1207)</f>
        <v>1</v>
      </c>
      <c r="C1207" s="2">
        <v>45682</v>
      </c>
      <c r="D1207" t="s">
        <v>723</v>
      </c>
      <c r="E1207" t="s">
        <v>28</v>
      </c>
      <c r="F1207" t="s">
        <v>24</v>
      </c>
      <c r="G1207" t="s">
        <v>41</v>
      </c>
      <c r="H1207" t="s">
        <v>26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Q1207">
        <v>47.7</v>
      </c>
    </row>
    <row r="1208" spans="1:17">
      <c r="A1208" t="s">
        <v>1239</v>
      </c>
      <c r="B1208">
        <f>COUNTIF($A$2:A1208,A1208)</f>
        <v>1</v>
      </c>
      <c r="C1208" s="2">
        <v>45733</v>
      </c>
      <c r="D1208" t="s">
        <v>723</v>
      </c>
      <c r="E1208" t="s">
        <v>18</v>
      </c>
      <c r="F1208" t="s">
        <v>24</v>
      </c>
      <c r="G1208" t="s">
        <v>25</v>
      </c>
      <c r="H1208" t="s">
        <v>26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Q1208">
        <v>59.1</v>
      </c>
    </row>
    <row r="1209" spans="1:17">
      <c r="A1209" t="s">
        <v>1240</v>
      </c>
      <c r="B1209">
        <f>COUNTIF($A$2:A1209,A1209)</f>
        <v>1</v>
      </c>
      <c r="C1209" s="2">
        <v>45709</v>
      </c>
      <c r="D1209" t="s">
        <v>723</v>
      </c>
      <c r="E1209" t="s">
        <v>23</v>
      </c>
      <c r="F1209" t="s">
        <v>19</v>
      </c>
      <c r="G1209" t="s">
        <v>41</v>
      </c>
      <c r="H1209" t="s">
        <v>21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Q1209">
        <v>68.7</v>
      </c>
    </row>
    <row r="1210" spans="1:17">
      <c r="A1210" t="s">
        <v>1241</v>
      </c>
      <c r="B1210">
        <f>COUNTIF($A$2:A1210,A1210)</f>
        <v>1</v>
      </c>
      <c r="C1210" s="2">
        <v>45755</v>
      </c>
      <c r="D1210" t="s">
        <v>723</v>
      </c>
      <c r="E1210" t="s">
        <v>28</v>
      </c>
      <c r="F1210" t="s">
        <v>34</v>
      </c>
      <c r="G1210" t="s">
        <v>25</v>
      </c>
      <c r="H1210" t="s">
        <v>21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Q1210">
        <v>34.700000000000003</v>
      </c>
    </row>
    <row r="1211" spans="1:17">
      <c r="A1211" t="s">
        <v>1242</v>
      </c>
      <c r="B1211">
        <f>COUNTIF($A$2:A1211,A1211)</f>
        <v>1</v>
      </c>
      <c r="C1211" s="2">
        <v>45712</v>
      </c>
      <c r="D1211" t="s">
        <v>723</v>
      </c>
      <c r="E1211" t="s">
        <v>23</v>
      </c>
      <c r="F1211" t="s">
        <v>24</v>
      </c>
      <c r="G1211" t="s">
        <v>25</v>
      </c>
      <c r="H1211" t="s">
        <v>21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Q1211">
        <v>62</v>
      </c>
    </row>
    <row r="1212" spans="1:17">
      <c r="A1212" t="s">
        <v>1243</v>
      </c>
      <c r="B1212">
        <f>COUNTIF($A$2:A1212,A1212)</f>
        <v>1</v>
      </c>
      <c r="C1212" s="2">
        <v>45806</v>
      </c>
      <c r="D1212" t="s">
        <v>723</v>
      </c>
      <c r="E1212" t="s">
        <v>32</v>
      </c>
      <c r="F1212" t="s">
        <v>24</v>
      </c>
      <c r="G1212" t="s">
        <v>25</v>
      </c>
      <c r="H1212" t="s">
        <v>26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Q1212">
        <v>56</v>
      </c>
    </row>
    <row r="1213" spans="1:17">
      <c r="A1213" t="s">
        <v>1244</v>
      </c>
      <c r="B1213">
        <f>COUNTIF($A$2:A1213,A1213)</f>
        <v>1</v>
      </c>
      <c r="C1213" s="2">
        <v>45807</v>
      </c>
      <c r="D1213" t="s">
        <v>723</v>
      </c>
      <c r="E1213" t="s">
        <v>18</v>
      </c>
      <c r="F1213" t="s">
        <v>24</v>
      </c>
      <c r="G1213" t="s">
        <v>20</v>
      </c>
      <c r="H1213" t="s">
        <v>21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Q1213">
        <v>65.8</v>
      </c>
    </row>
    <row r="1214" spans="1:17">
      <c r="A1214" t="s">
        <v>1245</v>
      </c>
      <c r="B1214">
        <f>COUNTIF($A$2:A1214,A1214)</f>
        <v>1</v>
      </c>
      <c r="C1214" s="2">
        <v>45681</v>
      </c>
      <c r="D1214" t="s">
        <v>723</v>
      </c>
      <c r="E1214" t="s">
        <v>18</v>
      </c>
      <c r="F1214" t="s">
        <v>19</v>
      </c>
      <c r="G1214" t="s">
        <v>25</v>
      </c>
      <c r="H1214" t="s">
        <v>30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Q1214">
        <v>54.7</v>
      </c>
    </row>
    <row r="1215" spans="1:17">
      <c r="A1215" t="s">
        <v>1246</v>
      </c>
      <c r="B1215">
        <f>COUNTIF($A$2:A1215,A1215)</f>
        <v>1</v>
      </c>
      <c r="C1215" s="2">
        <v>45789</v>
      </c>
      <c r="D1215" t="s">
        <v>723</v>
      </c>
      <c r="E1215" t="s">
        <v>32</v>
      </c>
      <c r="F1215" t="s">
        <v>24</v>
      </c>
      <c r="G1215" t="s">
        <v>25</v>
      </c>
      <c r="H1215" t="s">
        <v>21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Q1215">
        <v>64.099999999999994</v>
      </c>
    </row>
    <row r="1216" spans="1:17">
      <c r="A1216" t="s">
        <v>1247</v>
      </c>
      <c r="B1216">
        <f>COUNTIF($A$2:A1216,A1216)</f>
        <v>1</v>
      </c>
      <c r="C1216" s="2">
        <v>45744</v>
      </c>
      <c r="D1216" t="s">
        <v>723</v>
      </c>
      <c r="E1216" t="s">
        <v>32</v>
      </c>
      <c r="F1216" t="s">
        <v>24</v>
      </c>
      <c r="G1216" t="s">
        <v>25</v>
      </c>
      <c r="H1216" t="s">
        <v>21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0</v>
      </c>
      <c r="Q1216">
        <v>71.599999999999994</v>
      </c>
    </row>
    <row r="1217" spans="1:17">
      <c r="A1217" t="s">
        <v>1248</v>
      </c>
      <c r="B1217">
        <f>COUNTIF($A$2:A1217,A1217)</f>
        <v>1</v>
      </c>
      <c r="C1217" s="2">
        <v>45761</v>
      </c>
      <c r="D1217" t="s">
        <v>723</v>
      </c>
      <c r="E1217" t="s">
        <v>18</v>
      </c>
      <c r="F1217" t="s">
        <v>24</v>
      </c>
      <c r="G1217" t="s">
        <v>39</v>
      </c>
      <c r="H1217" t="s">
        <v>21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Q1217">
        <v>78.400000000000006</v>
      </c>
    </row>
    <row r="1218" spans="1:17">
      <c r="A1218" t="s">
        <v>1249</v>
      </c>
      <c r="B1218">
        <f>COUNTIF($A$2:A1218,A1218)</f>
        <v>1</v>
      </c>
      <c r="C1218" s="2">
        <v>45685</v>
      </c>
      <c r="D1218" t="s">
        <v>723</v>
      </c>
      <c r="E1218" t="s">
        <v>28</v>
      </c>
      <c r="F1218" t="s">
        <v>34</v>
      </c>
      <c r="G1218" t="s">
        <v>39</v>
      </c>
      <c r="H1218" t="s">
        <v>21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Q1218">
        <v>49.3</v>
      </c>
    </row>
    <row r="1219" spans="1:17">
      <c r="A1219" t="s">
        <v>1250</v>
      </c>
      <c r="B1219">
        <f>COUNTIF($A$2:A1219,A1219)</f>
        <v>1</v>
      </c>
      <c r="C1219" s="2">
        <v>45798</v>
      </c>
      <c r="D1219" t="s">
        <v>723</v>
      </c>
      <c r="E1219" t="s">
        <v>18</v>
      </c>
      <c r="F1219" t="s">
        <v>24</v>
      </c>
      <c r="G1219" t="s">
        <v>25</v>
      </c>
      <c r="H1219" t="s">
        <v>21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Q1219">
        <v>52.8</v>
      </c>
    </row>
    <row r="1220" spans="1:17">
      <c r="A1220" t="s">
        <v>1251</v>
      </c>
      <c r="B1220">
        <f>COUNTIF($A$2:A1220,A1220)</f>
        <v>1</v>
      </c>
      <c r="C1220" s="2">
        <v>45788</v>
      </c>
      <c r="D1220" t="s">
        <v>723</v>
      </c>
      <c r="E1220" t="s">
        <v>23</v>
      </c>
      <c r="F1220" t="s">
        <v>19</v>
      </c>
      <c r="G1220" t="s">
        <v>25</v>
      </c>
      <c r="H1220" t="s">
        <v>26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Q1220">
        <v>58.5</v>
      </c>
    </row>
    <row r="1221" spans="1:17">
      <c r="A1221" t="s">
        <v>1252</v>
      </c>
      <c r="B1221">
        <f>COUNTIF($A$2:A1221,A1221)</f>
        <v>1</v>
      </c>
      <c r="C1221" s="2">
        <v>45690</v>
      </c>
      <c r="D1221" t="s">
        <v>723</v>
      </c>
      <c r="E1221" t="s">
        <v>32</v>
      </c>
      <c r="F1221" t="s">
        <v>24</v>
      </c>
      <c r="G1221" t="s">
        <v>29</v>
      </c>
      <c r="H1221" t="s">
        <v>26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Q1221">
        <v>55.9</v>
      </c>
    </row>
    <row r="1222" spans="1:17">
      <c r="A1222" t="s">
        <v>1253</v>
      </c>
      <c r="B1222">
        <f>COUNTIF($A$2:A1222,A1222)</f>
        <v>1</v>
      </c>
      <c r="C1222" s="2">
        <v>45714</v>
      </c>
      <c r="D1222" t="s">
        <v>723</v>
      </c>
      <c r="E1222" t="s">
        <v>18</v>
      </c>
      <c r="F1222" t="s">
        <v>24</v>
      </c>
      <c r="G1222" t="s">
        <v>41</v>
      </c>
      <c r="H1222" t="s">
        <v>26</v>
      </c>
      <c r="I1222">
        <v>1</v>
      </c>
      <c r="J1222">
        <v>1</v>
      </c>
      <c r="K1222">
        <v>1</v>
      </c>
      <c r="L1222">
        <v>1</v>
      </c>
      <c r="M1222">
        <v>351.43</v>
      </c>
      <c r="N1222">
        <v>1</v>
      </c>
      <c r="O1222">
        <v>0</v>
      </c>
      <c r="P1222">
        <v>6</v>
      </c>
      <c r="Q1222">
        <v>74.900000000000006</v>
      </c>
    </row>
    <row r="1223" spans="1:17">
      <c r="A1223" t="s">
        <v>1254</v>
      </c>
      <c r="B1223">
        <f>COUNTIF($A$2:A1223,A1223)</f>
        <v>1</v>
      </c>
      <c r="C1223" s="2">
        <v>45715</v>
      </c>
      <c r="D1223" t="s">
        <v>723</v>
      </c>
      <c r="E1223" t="s">
        <v>32</v>
      </c>
      <c r="F1223" t="s">
        <v>19</v>
      </c>
      <c r="G1223" t="s">
        <v>39</v>
      </c>
      <c r="H1223" t="s">
        <v>26</v>
      </c>
      <c r="I1223">
        <v>1</v>
      </c>
      <c r="J1223">
        <v>1</v>
      </c>
      <c r="K1223">
        <v>1</v>
      </c>
      <c r="L1223">
        <v>1</v>
      </c>
      <c r="M1223">
        <v>352.42</v>
      </c>
      <c r="N1223">
        <v>0</v>
      </c>
      <c r="O1223">
        <v>0</v>
      </c>
      <c r="P1223">
        <v>4</v>
      </c>
      <c r="Q1223">
        <v>58.5</v>
      </c>
    </row>
    <row r="1224" spans="1:17">
      <c r="A1224" t="s">
        <v>1255</v>
      </c>
      <c r="B1224">
        <f>COUNTIF($A$2:A1224,A1224)</f>
        <v>1</v>
      </c>
      <c r="C1224" s="2">
        <v>45725</v>
      </c>
      <c r="D1224" t="s">
        <v>723</v>
      </c>
      <c r="E1224" t="s">
        <v>23</v>
      </c>
      <c r="F1224" t="s">
        <v>24</v>
      </c>
      <c r="G1224" t="s">
        <v>25</v>
      </c>
      <c r="H1224" t="s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Q1224">
        <v>63.5</v>
      </c>
    </row>
    <row r="1225" spans="1:17">
      <c r="A1225" t="s">
        <v>1256</v>
      </c>
      <c r="B1225">
        <f>COUNTIF($A$2:A1225,A1225)</f>
        <v>1</v>
      </c>
      <c r="C1225" s="2">
        <v>45695</v>
      </c>
      <c r="D1225" t="s">
        <v>723</v>
      </c>
      <c r="E1225" t="s">
        <v>18</v>
      </c>
      <c r="F1225" t="s">
        <v>24</v>
      </c>
      <c r="G1225" t="s">
        <v>29</v>
      </c>
      <c r="H1225" t="s">
        <v>21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Q1225">
        <v>64.8</v>
      </c>
    </row>
    <row r="1226" spans="1:17">
      <c r="A1226" t="s">
        <v>1257</v>
      </c>
      <c r="B1226">
        <f>COUNTIF($A$2:A1226,A1226)</f>
        <v>1</v>
      </c>
      <c r="C1226" s="2">
        <v>45688</v>
      </c>
      <c r="D1226" t="s">
        <v>723</v>
      </c>
      <c r="E1226" t="s">
        <v>23</v>
      </c>
      <c r="F1226" t="s">
        <v>24</v>
      </c>
      <c r="G1226" t="s">
        <v>41</v>
      </c>
      <c r="H1226" t="s">
        <v>26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Q1226">
        <v>63.3</v>
      </c>
    </row>
    <row r="1227" spans="1:17">
      <c r="A1227" t="s">
        <v>1258</v>
      </c>
      <c r="B1227">
        <f>COUNTIF($A$2:A1227,A1227)</f>
        <v>1</v>
      </c>
      <c r="C1227" s="2">
        <v>45702</v>
      </c>
      <c r="D1227" t="s">
        <v>723</v>
      </c>
      <c r="E1227" t="s">
        <v>18</v>
      </c>
      <c r="F1227" t="s">
        <v>34</v>
      </c>
      <c r="G1227" t="s">
        <v>29</v>
      </c>
      <c r="H1227" t="s">
        <v>21</v>
      </c>
      <c r="I1227">
        <v>1</v>
      </c>
      <c r="J1227">
        <v>1</v>
      </c>
      <c r="K1227">
        <v>1</v>
      </c>
      <c r="L1227">
        <v>1</v>
      </c>
      <c r="M1227">
        <v>1074.1600000000001</v>
      </c>
      <c r="N1227">
        <v>0</v>
      </c>
      <c r="O1227">
        <v>0</v>
      </c>
      <c r="P1227">
        <v>8</v>
      </c>
      <c r="Q1227">
        <v>83.7</v>
      </c>
    </row>
    <row r="1228" spans="1:17">
      <c r="A1228" t="s">
        <v>1259</v>
      </c>
      <c r="B1228">
        <f>COUNTIF($A$2:A1228,A1228)</f>
        <v>1</v>
      </c>
      <c r="C1228" s="2">
        <v>45700</v>
      </c>
      <c r="D1228" t="s">
        <v>723</v>
      </c>
      <c r="E1228" t="s">
        <v>32</v>
      </c>
      <c r="F1228" t="s">
        <v>19</v>
      </c>
      <c r="G1228" t="s">
        <v>41</v>
      </c>
      <c r="H1228" t="s">
        <v>21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Q1228">
        <v>88.7</v>
      </c>
    </row>
    <row r="1229" spans="1:17">
      <c r="A1229" t="s">
        <v>1260</v>
      </c>
      <c r="B1229">
        <f>COUNTIF($A$2:A1229,A1229)</f>
        <v>1</v>
      </c>
      <c r="C1229" s="2">
        <v>45739</v>
      </c>
      <c r="D1229" t="s">
        <v>723</v>
      </c>
      <c r="E1229" t="s">
        <v>28</v>
      </c>
      <c r="G1229" t="s">
        <v>29</v>
      </c>
      <c r="H1229" t="s">
        <v>26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Q1229">
        <v>61.5</v>
      </c>
    </row>
    <row r="1230" spans="1:17">
      <c r="A1230" t="s">
        <v>1261</v>
      </c>
      <c r="B1230">
        <f>COUNTIF($A$2:A1230,A1230)</f>
        <v>1</v>
      </c>
      <c r="C1230" s="2">
        <v>45734</v>
      </c>
      <c r="D1230" t="s">
        <v>723</v>
      </c>
      <c r="E1230" t="s">
        <v>23</v>
      </c>
      <c r="F1230" t="s">
        <v>24</v>
      </c>
      <c r="G1230" t="s">
        <v>29</v>
      </c>
      <c r="H1230" t="s">
        <v>26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Q1230">
        <v>45.3</v>
      </c>
    </row>
    <row r="1231" spans="1:17">
      <c r="A1231" t="s">
        <v>1262</v>
      </c>
      <c r="B1231">
        <f>COUNTIF($A$2:A1231,A1231)</f>
        <v>1</v>
      </c>
      <c r="C1231" s="2">
        <v>45794</v>
      </c>
      <c r="D1231" t="s">
        <v>723</v>
      </c>
      <c r="E1231" t="s">
        <v>18</v>
      </c>
      <c r="F1231" t="s">
        <v>24</v>
      </c>
      <c r="G1231" t="s">
        <v>41</v>
      </c>
      <c r="H1231" t="s">
        <v>26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Q1231">
        <v>37.299999999999997</v>
      </c>
    </row>
    <row r="1232" spans="1:17">
      <c r="A1232" t="s">
        <v>1263</v>
      </c>
      <c r="B1232">
        <f>COUNTIF($A$2:A1232,A1232)</f>
        <v>1</v>
      </c>
      <c r="C1232" s="2">
        <v>45742</v>
      </c>
      <c r="D1232" t="s">
        <v>723</v>
      </c>
      <c r="E1232" t="s">
        <v>23</v>
      </c>
      <c r="F1232" t="s">
        <v>19</v>
      </c>
      <c r="G1232" t="s">
        <v>41</v>
      </c>
      <c r="H1232" t="s">
        <v>30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Q1232">
        <v>76.099999999999994</v>
      </c>
    </row>
    <row r="1233" spans="1:17">
      <c r="A1233" t="s">
        <v>1264</v>
      </c>
      <c r="B1233">
        <f>COUNTIF($A$2:A1233,A1233)</f>
        <v>1</v>
      </c>
      <c r="C1233" s="2">
        <v>45746</v>
      </c>
      <c r="D1233" t="s">
        <v>723</v>
      </c>
      <c r="E1233" t="s">
        <v>28</v>
      </c>
      <c r="F1233" t="s">
        <v>24</v>
      </c>
      <c r="G1233" t="s">
        <v>25</v>
      </c>
      <c r="H1233" t="s">
        <v>26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1</v>
      </c>
      <c r="O1233">
        <v>0</v>
      </c>
      <c r="Q1233">
        <v>72.5</v>
      </c>
    </row>
    <row r="1234" spans="1:17">
      <c r="A1234" t="s">
        <v>1265</v>
      </c>
      <c r="B1234">
        <f>COUNTIF($A$2:A1234,A1234)</f>
        <v>1</v>
      </c>
      <c r="C1234" s="2">
        <v>45713</v>
      </c>
      <c r="D1234" t="s">
        <v>723</v>
      </c>
      <c r="E1234" t="s">
        <v>28</v>
      </c>
      <c r="F1234" t="s">
        <v>19</v>
      </c>
      <c r="G1234" t="s">
        <v>25</v>
      </c>
      <c r="H1234" t="s">
        <v>26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Q1234">
        <v>62.3</v>
      </c>
    </row>
    <row r="1235" spans="1:17">
      <c r="A1235" t="s">
        <v>1266</v>
      </c>
      <c r="B1235">
        <f>COUNTIF($A$2:A1235,A1235)</f>
        <v>1</v>
      </c>
      <c r="C1235" s="2">
        <v>45717</v>
      </c>
      <c r="D1235" t="s">
        <v>723</v>
      </c>
      <c r="E1235" t="s">
        <v>28</v>
      </c>
      <c r="F1235" t="s">
        <v>19</v>
      </c>
      <c r="G1235" t="s">
        <v>41</v>
      </c>
      <c r="H1235" t="s">
        <v>26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Q1235">
        <v>62.7</v>
      </c>
    </row>
    <row r="1236" spans="1:17">
      <c r="A1236" t="s">
        <v>1267</v>
      </c>
      <c r="B1236">
        <f>COUNTIF($A$2:A1236,A1236)</f>
        <v>1</v>
      </c>
      <c r="C1236" s="2">
        <v>45804</v>
      </c>
      <c r="D1236" t="s">
        <v>723</v>
      </c>
      <c r="E1236" t="s">
        <v>18</v>
      </c>
      <c r="F1236" t="s">
        <v>24</v>
      </c>
      <c r="G1236" t="s">
        <v>29</v>
      </c>
      <c r="H1236" t="s">
        <v>21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Q1236">
        <v>82.4</v>
      </c>
    </row>
    <row r="1237" spans="1:17">
      <c r="A1237" t="s">
        <v>1268</v>
      </c>
      <c r="B1237">
        <f>COUNTIF($A$2:A1237,A1237)</f>
        <v>1</v>
      </c>
      <c r="C1237" s="2">
        <v>45693</v>
      </c>
      <c r="D1237" t="s">
        <v>723</v>
      </c>
      <c r="E1237" t="s">
        <v>23</v>
      </c>
      <c r="F1237" t="s">
        <v>24</v>
      </c>
      <c r="H1237" t="s">
        <v>30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Q1237">
        <v>78.900000000000006</v>
      </c>
    </row>
    <row r="1238" spans="1:17">
      <c r="A1238" t="s">
        <v>1269</v>
      </c>
      <c r="B1238">
        <f>COUNTIF($A$2:A1238,A1238)</f>
        <v>1</v>
      </c>
      <c r="C1238" s="2">
        <v>45682</v>
      </c>
      <c r="D1238" t="s">
        <v>723</v>
      </c>
      <c r="E1238" t="s">
        <v>23</v>
      </c>
      <c r="F1238" t="s">
        <v>19</v>
      </c>
      <c r="G1238" t="s">
        <v>20</v>
      </c>
      <c r="H1238" t="s">
        <v>26</v>
      </c>
      <c r="I1238">
        <v>1</v>
      </c>
      <c r="J1238">
        <v>1</v>
      </c>
      <c r="K1238">
        <v>1</v>
      </c>
      <c r="L1238">
        <v>1</v>
      </c>
      <c r="M1238">
        <v>618.91</v>
      </c>
      <c r="N1238">
        <v>0</v>
      </c>
      <c r="O1238">
        <v>0</v>
      </c>
      <c r="P1238">
        <v>4</v>
      </c>
      <c r="Q1238">
        <v>67.8</v>
      </c>
    </row>
    <row r="1239" spans="1:17">
      <c r="A1239" t="s">
        <v>1270</v>
      </c>
      <c r="B1239">
        <f>COUNTIF($A$2:A1239,A1239)</f>
        <v>1</v>
      </c>
      <c r="C1239" s="2">
        <v>45757</v>
      </c>
      <c r="D1239" t="s">
        <v>723</v>
      </c>
      <c r="E1239" t="s">
        <v>28</v>
      </c>
      <c r="F1239" t="s">
        <v>24</v>
      </c>
      <c r="G1239" t="s">
        <v>25</v>
      </c>
      <c r="H1239" t="s">
        <v>30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Q1239">
        <v>68.8</v>
      </c>
    </row>
    <row r="1240" spans="1:17">
      <c r="A1240" t="s">
        <v>1271</v>
      </c>
      <c r="B1240">
        <f>COUNTIF($A$2:A1240,A1240)</f>
        <v>1</v>
      </c>
      <c r="C1240" s="2">
        <v>45667</v>
      </c>
      <c r="D1240" t="s">
        <v>723</v>
      </c>
      <c r="E1240" t="s">
        <v>28</v>
      </c>
      <c r="F1240" t="s">
        <v>24</v>
      </c>
      <c r="G1240" t="s">
        <v>25</v>
      </c>
      <c r="H1240" t="s">
        <v>30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Q1240">
        <v>67.7</v>
      </c>
    </row>
    <row r="1241" spans="1:17">
      <c r="A1241" t="s">
        <v>1272</v>
      </c>
      <c r="B1241">
        <f>COUNTIF($A$2:A1241,A1241)</f>
        <v>1</v>
      </c>
      <c r="C1241" s="2">
        <v>45711</v>
      </c>
      <c r="D1241" t="s">
        <v>723</v>
      </c>
      <c r="E1241" t="s">
        <v>28</v>
      </c>
      <c r="F1241" t="s">
        <v>24</v>
      </c>
      <c r="H1241" t="s">
        <v>26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Q1241">
        <v>88</v>
      </c>
    </row>
    <row r="1242" spans="1:17">
      <c r="A1242" t="s">
        <v>1273</v>
      </c>
      <c r="B1242">
        <f>COUNTIF($A$2:A1242,A1242)</f>
        <v>1</v>
      </c>
      <c r="C1242" s="2">
        <v>45800</v>
      </c>
      <c r="D1242" t="s">
        <v>723</v>
      </c>
      <c r="E1242" t="s">
        <v>23</v>
      </c>
      <c r="F1242" t="s">
        <v>19</v>
      </c>
      <c r="G1242" t="s">
        <v>25</v>
      </c>
      <c r="H1242" t="s">
        <v>21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Q1242">
        <v>80.099999999999994</v>
      </c>
    </row>
    <row r="1243" spans="1:17">
      <c r="A1243" t="s">
        <v>1274</v>
      </c>
      <c r="B1243">
        <f>COUNTIF($A$2:A1243,A1243)</f>
        <v>1</v>
      </c>
      <c r="C1243" s="2">
        <v>45724</v>
      </c>
      <c r="D1243" t="s">
        <v>723</v>
      </c>
      <c r="E1243" t="s">
        <v>18</v>
      </c>
      <c r="F1243" t="s">
        <v>34</v>
      </c>
      <c r="G1243" t="s">
        <v>20</v>
      </c>
      <c r="H1243" t="s">
        <v>21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Q1243">
        <v>48.2</v>
      </c>
    </row>
    <row r="1244" spans="1:17">
      <c r="A1244" t="s">
        <v>1275</v>
      </c>
      <c r="B1244">
        <f>COUNTIF($A$2:A1244,A1244)</f>
        <v>1</v>
      </c>
      <c r="C1244" s="2">
        <v>45798</v>
      </c>
      <c r="D1244" t="s">
        <v>723</v>
      </c>
      <c r="E1244" t="s">
        <v>28</v>
      </c>
      <c r="F1244" t="s">
        <v>24</v>
      </c>
      <c r="G1244" t="s">
        <v>25</v>
      </c>
      <c r="H1244" t="s">
        <v>21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Q1244">
        <v>52.7</v>
      </c>
    </row>
    <row r="1245" spans="1:17">
      <c r="A1245" t="s">
        <v>1276</v>
      </c>
      <c r="B1245">
        <f>COUNTIF($A$2:A1245,A1245)</f>
        <v>1</v>
      </c>
      <c r="C1245" s="2">
        <v>45769</v>
      </c>
      <c r="D1245" t="s">
        <v>723</v>
      </c>
      <c r="E1245" t="s">
        <v>18</v>
      </c>
      <c r="F1245" t="s">
        <v>24</v>
      </c>
      <c r="G1245" t="s">
        <v>20</v>
      </c>
      <c r="H1245" t="s">
        <v>21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Q1245">
        <v>59.9</v>
      </c>
    </row>
    <row r="1246" spans="1:17">
      <c r="A1246" t="s">
        <v>1277</v>
      </c>
      <c r="B1246">
        <f>COUNTIF($A$2:A1246,A1246)</f>
        <v>1</v>
      </c>
      <c r="C1246" s="2">
        <v>45763</v>
      </c>
      <c r="D1246" t="s">
        <v>723</v>
      </c>
      <c r="E1246" t="s">
        <v>18</v>
      </c>
      <c r="F1246" t="s">
        <v>24</v>
      </c>
      <c r="G1246" t="s">
        <v>20</v>
      </c>
      <c r="H1246" t="s">
        <v>30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Q1246">
        <v>49.5</v>
      </c>
    </row>
    <row r="1247" spans="1:17">
      <c r="A1247" t="s">
        <v>1278</v>
      </c>
      <c r="B1247">
        <f>COUNTIF($A$2:A1247,A1247)</f>
        <v>1</v>
      </c>
      <c r="C1247" s="2">
        <v>45785</v>
      </c>
      <c r="D1247" t="s">
        <v>723</v>
      </c>
      <c r="E1247" t="s">
        <v>18</v>
      </c>
      <c r="F1247" t="s">
        <v>34</v>
      </c>
      <c r="G1247" t="s">
        <v>25</v>
      </c>
      <c r="H1247" t="s">
        <v>26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Q1247">
        <v>41.5</v>
      </c>
    </row>
    <row r="1248" spans="1:17">
      <c r="A1248" t="s">
        <v>1279</v>
      </c>
      <c r="B1248">
        <f>COUNTIF($A$2:A1248,A1248)</f>
        <v>1</v>
      </c>
      <c r="C1248" s="2">
        <v>45799</v>
      </c>
      <c r="D1248" t="s">
        <v>723</v>
      </c>
      <c r="E1248" t="s">
        <v>18</v>
      </c>
      <c r="F1248" t="s">
        <v>24</v>
      </c>
      <c r="G1248" t="s">
        <v>29</v>
      </c>
      <c r="H1248" t="s">
        <v>21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Q1248">
        <v>71.2</v>
      </c>
    </row>
    <row r="1249" spans="1:17">
      <c r="A1249" t="s">
        <v>1280</v>
      </c>
      <c r="B1249">
        <f>COUNTIF($A$2:A1249,A1249)</f>
        <v>1</v>
      </c>
      <c r="C1249" s="2">
        <v>45737</v>
      </c>
      <c r="D1249" t="s">
        <v>723</v>
      </c>
      <c r="E1249" t="s">
        <v>18</v>
      </c>
      <c r="F1249" t="s">
        <v>24</v>
      </c>
      <c r="G1249" t="s">
        <v>39</v>
      </c>
      <c r="H1249" t="s">
        <v>21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0</v>
      </c>
      <c r="Q1249">
        <v>65.8</v>
      </c>
    </row>
    <row r="1250" spans="1:17">
      <c r="A1250" t="s">
        <v>1281</v>
      </c>
      <c r="B1250">
        <f>COUNTIF($A$2:A1250,A1250)</f>
        <v>1</v>
      </c>
      <c r="C1250" s="2">
        <v>45738</v>
      </c>
      <c r="D1250" t="s">
        <v>723</v>
      </c>
      <c r="E1250" t="s">
        <v>28</v>
      </c>
      <c r="F1250" t="s">
        <v>24</v>
      </c>
      <c r="G1250" t="s">
        <v>25</v>
      </c>
      <c r="H1250" t="s">
        <v>21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Q1250">
        <v>55.1</v>
      </c>
    </row>
    <row r="1251" spans="1:17">
      <c r="A1251" t="s">
        <v>1282</v>
      </c>
      <c r="B1251">
        <f>COUNTIF($A$2:A1251,A1251)</f>
        <v>1</v>
      </c>
      <c r="C1251" s="2">
        <v>45667</v>
      </c>
      <c r="D1251" t="s">
        <v>723</v>
      </c>
      <c r="E1251" t="s">
        <v>23</v>
      </c>
      <c r="F1251" t="s">
        <v>19</v>
      </c>
      <c r="G1251" t="s">
        <v>41</v>
      </c>
      <c r="H1251" t="s">
        <v>26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Q1251">
        <v>54.6</v>
      </c>
    </row>
    <row r="1252" spans="1:17">
      <c r="A1252" t="s">
        <v>1283</v>
      </c>
      <c r="B1252">
        <f>COUNTIF($A$2:A1252,A1252)</f>
        <v>1</v>
      </c>
      <c r="C1252" s="2">
        <v>45689</v>
      </c>
      <c r="D1252" t="s">
        <v>723</v>
      </c>
      <c r="E1252" t="s">
        <v>28</v>
      </c>
      <c r="F1252" t="s">
        <v>24</v>
      </c>
      <c r="G1252" t="s">
        <v>25</v>
      </c>
      <c r="H1252" t="s">
        <v>21</v>
      </c>
      <c r="I1252">
        <v>1</v>
      </c>
      <c r="J1252">
        <v>1</v>
      </c>
      <c r="K1252">
        <v>1</v>
      </c>
      <c r="L1252">
        <v>1</v>
      </c>
      <c r="M1252">
        <v>923.67</v>
      </c>
      <c r="N1252">
        <v>0</v>
      </c>
      <c r="O1252">
        <v>0</v>
      </c>
      <c r="P1252">
        <v>4</v>
      </c>
      <c r="Q1252">
        <v>81.900000000000006</v>
      </c>
    </row>
    <row r="1253" spans="1:17">
      <c r="A1253" t="s">
        <v>1284</v>
      </c>
      <c r="B1253">
        <f>COUNTIF($A$2:A1253,A1253)</f>
        <v>1</v>
      </c>
      <c r="C1253" s="2">
        <v>45747</v>
      </c>
      <c r="D1253" t="s">
        <v>723</v>
      </c>
      <c r="E1253" t="s">
        <v>32</v>
      </c>
      <c r="F1253" t="s">
        <v>24</v>
      </c>
      <c r="G1253" t="s">
        <v>29</v>
      </c>
      <c r="H1253" t="s">
        <v>21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3</v>
      </c>
      <c r="O1253">
        <v>0</v>
      </c>
      <c r="Q1253">
        <v>63.2</v>
      </c>
    </row>
    <row r="1254" spans="1:17">
      <c r="A1254" t="s">
        <v>1285</v>
      </c>
      <c r="B1254">
        <f>COUNTIF($A$2:A1254,A1254)</f>
        <v>1</v>
      </c>
      <c r="C1254" s="2">
        <v>45772</v>
      </c>
      <c r="D1254" t="s">
        <v>723</v>
      </c>
      <c r="E1254" t="s">
        <v>18</v>
      </c>
      <c r="F1254" t="s">
        <v>24</v>
      </c>
      <c r="G1254" t="s">
        <v>29</v>
      </c>
      <c r="H1254" t="s">
        <v>26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Q1254">
        <v>55.4</v>
      </c>
    </row>
    <row r="1255" spans="1:17">
      <c r="A1255" t="s">
        <v>1286</v>
      </c>
      <c r="B1255">
        <f>COUNTIF($A$2:A1255,A1255)</f>
        <v>1</v>
      </c>
      <c r="C1255" s="2">
        <v>45779</v>
      </c>
      <c r="D1255" t="s">
        <v>723</v>
      </c>
      <c r="E1255" t="s">
        <v>23</v>
      </c>
      <c r="F1255" t="s">
        <v>24</v>
      </c>
      <c r="G1255" t="s">
        <v>41</v>
      </c>
      <c r="H1255" t="s">
        <v>21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Q1255">
        <v>87.5</v>
      </c>
    </row>
    <row r="1256" spans="1:17">
      <c r="A1256" t="s">
        <v>1287</v>
      </c>
      <c r="B1256">
        <f>COUNTIF($A$2:A1256,A1256)</f>
        <v>1</v>
      </c>
      <c r="C1256" s="2">
        <v>45724</v>
      </c>
      <c r="D1256" t="s">
        <v>723</v>
      </c>
      <c r="E1256" t="s">
        <v>32</v>
      </c>
      <c r="F1256" t="s">
        <v>19</v>
      </c>
      <c r="G1256" t="s">
        <v>41</v>
      </c>
      <c r="H1256" t="s">
        <v>21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Q1256">
        <v>48.5</v>
      </c>
    </row>
    <row r="1257" spans="1:17">
      <c r="A1257" t="s">
        <v>1288</v>
      </c>
      <c r="B1257">
        <f>COUNTIF($A$2:A1257,A1257)</f>
        <v>1</v>
      </c>
      <c r="C1257" s="2">
        <v>45684</v>
      </c>
      <c r="D1257" t="s">
        <v>723</v>
      </c>
      <c r="E1257" t="s">
        <v>28</v>
      </c>
      <c r="F1257" t="s">
        <v>19</v>
      </c>
      <c r="H1257" t="s">
        <v>26</v>
      </c>
      <c r="I1257">
        <v>1</v>
      </c>
      <c r="J1257">
        <v>1</v>
      </c>
      <c r="K1257">
        <v>1</v>
      </c>
      <c r="L1257">
        <v>1</v>
      </c>
      <c r="M1257">
        <v>420.27</v>
      </c>
      <c r="N1257">
        <v>0</v>
      </c>
      <c r="O1257">
        <v>0</v>
      </c>
      <c r="P1257">
        <v>6</v>
      </c>
      <c r="Q1257">
        <v>58.4</v>
      </c>
    </row>
    <row r="1258" spans="1:17">
      <c r="A1258" t="s">
        <v>1289</v>
      </c>
      <c r="B1258">
        <f>COUNTIF($A$2:A1258,A1258)</f>
        <v>1</v>
      </c>
      <c r="C1258" s="2">
        <v>45774</v>
      </c>
      <c r="D1258" t="s">
        <v>723</v>
      </c>
      <c r="E1258" t="s">
        <v>23</v>
      </c>
      <c r="F1258" t="s">
        <v>24</v>
      </c>
      <c r="G1258" t="s">
        <v>29</v>
      </c>
      <c r="H1258" t="s">
        <v>26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Q1258">
        <v>59.5</v>
      </c>
    </row>
    <row r="1259" spans="1:17">
      <c r="A1259" t="s">
        <v>1290</v>
      </c>
      <c r="B1259">
        <f>COUNTIF($A$2:A1259,A1259)</f>
        <v>1</v>
      </c>
      <c r="C1259" s="2">
        <v>45673</v>
      </c>
      <c r="D1259" t="s">
        <v>723</v>
      </c>
      <c r="E1259" t="s">
        <v>23</v>
      </c>
      <c r="F1259" t="s">
        <v>19</v>
      </c>
      <c r="G1259" t="s">
        <v>29</v>
      </c>
      <c r="H1259" t="s">
        <v>21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Q1259">
        <v>93.2</v>
      </c>
    </row>
    <row r="1260" spans="1:17">
      <c r="A1260" t="s">
        <v>1291</v>
      </c>
      <c r="B1260">
        <f>COUNTIF($A$2:A1260,A1260)</f>
        <v>1</v>
      </c>
      <c r="C1260" s="2">
        <v>45675</v>
      </c>
      <c r="D1260" t="s">
        <v>723</v>
      </c>
      <c r="E1260" t="s">
        <v>23</v>
      </c>
      <c r="F1260" t="s">
        <v>19</v>
      </c>
      <c r="G1260" t="s">
        <v>29</v>
      </c>
      <c r="H1260" t="s">
        <v>21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Q1260">
        <v>59</v>
      </c>
    </row>
    <row r="1261" spans="1:17">
      <c r="A1261" t="s">
        <v>1292</v>
      </c>
      <c r="B1261">
        <f>COUNTIF($A$2:A1261,A1261)</f>
        <v>1</v>
      </c>
      <c r="C1261" s="2">
        <v>45737</v>
      </c>
      <c r="D1261" t="s">
        <v>723</v>
      </c>
      <c r="E1261" t="s">
        <v>18</v>
      </c>
      <c r="F1261" t="s">
        <v>24</v>
      </c>
      <c r="G1261" t="s">
        <v>25</v>
      </c>
      <c r="H1261" t="s">
        <v>26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Q1261">
        <v>37</v>
      </c>
    </row>
    <row r="1262" spans="1:17">
      <c r="A1262" t="s">
        <v>1293</v>
      </c>
      <c r="B1262">
        <f>COUNTIF($A$2:A1262,A1262)</f>
        <v>1</v>
      </c>
      <c r="C1262" s="2">
        <v>45749</v>
      </c>
      <c r="D1262" t="s">
        <v>723</v>
      </c>
      <c r="E1262" t="s">
        <v>18</v>
      </c>
      <c r="F1262" t="s">
        <v>19</v>
      </c>
      <c r="G1262" t="s">
        <v>29</v>
      </c>
      <c r="H1262" t="s">
        <v>26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Q1262">
        <v>47.5</v>
      </c>
    </row>
    <row r="1263" spans="1:17">
      <c r="A1263" t="s">
        <v>1294</v>
      </c>
      <c r="B1263">
        <f>COUNTIF($A$2:A1263,A1263)</f>
        <v>1</v>
      </c>
      <c r="C1263" s="2">
        <v>45704</v>
      </c>
      <c r="D1263" t="s">
        <v>723</v>
      </c>
      <c r="E1263" t="s">
        <v>23</v>
      </c>
      <c r="F1263" t="s">
        <v>19</v>
      </c>
      <c r="G1263" t="s">
        <v>25</v>
      </c>
      <c r="H1263" t="s">
        <v>26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Q1263">
        <v>78.7</v>
      </c>
    </row>
    <row r="1264" spans="1:17">
      <c r="A1264" t="s">
        <v>1295</v>
      </c>
      <c r="B1264">
        <f>COUNTIF($A$2:A1264,A1264)</f>
        <v>1</v>
      </c>
      <c r="C1264" s="2">
        <v>45706</v>
      </c>
      <c r="D1264" t="s">
        <v>723</v>
      </c>
      <c r="E1264" t="s">
        <v>18</v>
      </c>
      <c r="F1264" t="s">
        <v>24</v>
      </c>
      <c r="G1264" t="s">
        <v>41</v>
      </c>
      <c r="H1264" t="s">
        <v>26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Q1264">
        <v>49.6</v>
      </c>
    </row>
    <row r="1265" spans="1:17">
      <c r="A1265" t="s">
        <v>1296</v>
      </c>
      <c r="B1265">
        <f>COUNTIF($A$2:A1265,A1265)</f>
        <v>1</v>
      </c>
      <c r="C1265" s="2">
        <v>45666</v>
      </c>
      <c r="D1265" t="s">
        <v>723</v>
      </c>
      <c r="E1265" t="s">
        <v>28</v>
      </c>
      <c r="F1265" t="s">
        <v>24</v>
      </c>
      <c r="G1265" t="s">
        <v>25</v>
      </c>
      <c r="H1265" t="s">
        <v>26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Q1265">
        <v>58</v>
      </c>
    </row>
    <row r="1266" spans="1:17">
      <c r="A1266" t="s">
        <v>1297</v>
      </c>
      <c r="B1266">
        <f>COUNTIF($A$2:A1266,A1266)</f>
        <v>1</v>
      </c>
      <c r="C1266" s="2">
        <v>45706</v>
      </c>
      <c r="D1266" t="s">
        <v>723</v>
      </c>
      <c r="E1266" t="s">
        <v>18</v>
      </c>
      <c r="F1266" t="s">
        <v>19</v>
      </c>
      <c r="G1266" t="s">
        <v>29</v>
      </c>
      <c r="H1266" t="s">
        <v>26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Q1266">
        <v>54.4</v>
      </c>
    </row>
    <row r="1267" spans="1:17">
      <c r="A1267" t="s">
        <v>1298</v>
      </c>
      <c r="B1267">
        <f>COUNTIF($A$2:A1267,A1267)</f>
        <v>1</v>
      </c>
      <c r="C1267" s="2">
        <v>45667</v>
      </c>
      <c r="D1267" t="s">
        <v>723</v>
      </c>
      <c r="E1267" t="s">
        <v>28</v>
      </c>
      <c r="F1267" t="s">
        <v>24</v>
      </c>
      <c r="G1267" t="s">
        <v>39</v>
      </c>
      <c r="H1267" t="s">
        <v>26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Q1267">
        <v>33.700000000000003</v>
      </c>
    </row>
    <row r="1268" spans="1:17">
      <c r="A1268" t="s">
        <v>1299</v>
      </c>
      <c r="B1268">
        <f>COUNTIF($A$2:A1268,A1268)</f>
        <v>1</v>
      </c>
      <c r="C1268" s="2">
        <v>45724</v>
      </c>
      <c r="D1268" t="s">
        <v>723</v>
      </c>
      <c r="E1268" t="s">
        <v>23</v>
      </c>
      <c r="F1268" t="s">
        <v>24</v>
      </c>
      <c r="G1268" t="s">
        <v>20</v>
      </c>
      <c r="H1268" t="s">
        <v>26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Q1268">
        <v>72.7</v>
      </c>
    </row>
    <row r="1269" spans="1:17">
      <c r="A1269" t="s">
        <v>1300</v>
      </c>
      <c r="B1269">
        <f>COUNTIF($A$2:A1269,A1269)</f>
        <v>1</v>
      </c>
      <c r="C1269" s="2">
        <v>45763</v>
      </c>
      <c r="D1269" t="s">
        <v>723</v>
      </c>
      <c r="E1269" t="s">
        <v>28</v>
      </c>
      <c r="F1269" t="s">
        <v>19</v>
      </c>
      <c r="G1269" t="s">
        <v>29</v>
      </c>
      <c r="H1269" t="s">
        <v>21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Q1269">
        <v>64.7</v>
      </c>
    </row>
    <row r="1270" spans="1:17">
      <c r="A1270" t="s">
        <v>1301</v>
      </c>
      <c r="B1270">
        <f>COUNTIF($A$2:A1270,A1270)</f>
        <v>1</v>
      </c>
      <c r="C1270" s="2">
        <v>45707</v>
      </c>
      <c r="D1270" t="s">
        <v>723</v>
      </c>
      <c r="E1270" t="s">
        <v>23</v>
      </c>
      <c r="F1270" t="s">
        <v>19</v>
      </c>
      <c r="G1270" t="s">
        <v>29</v>
      </c>
      <c r="H1270" t="s">
        <v>30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Q1270">
        <v>48.6</v>
      </c>
    </row>
    <row r="1271" spans="1:17">
      <c r="A1271" t="s">
        <v>1302</v>
      </c>
      <c r="B1271">
        <f>COUNTIF($A$2:A1271,A1271)</f>
        <v>1</v>
      </c>
      <c r="C1271" s="2">
        <v>45732</v>
      </c>
      <c r="D1271" t="s">
        <v>723</v>
      </c>
      <c r="E1271" t="s">
        <v>28</v>
      </c>
      <c r="F1271" t="s">
        <v>19</v>
      </c>
      <c r="G1271" t="s">
        <v>41</v>
      </c>
      <c r="H1271" t="s">
        <v>26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Q1271">
        <v>66.2</v>
      </c>
    </row>
    <row r="1272" spans="1:17">
      <c r="A1272" t="s">
        <v>1303</v>
      </c>
      <c r="B1272">
        <f>COUNTIF($A$2:A1272,A1272)</f>
        <v>1</v>
      </c>
      <c r="C1272" s="2">
        <v>45691</v>
      </c>
      <c r="D1272" t="s">
        <v>723</v>
      </c>
      <c r="E1272" t="s">
        <v>23</v>
      </c>
      <c r="G1272" t="s">
        <v>39</v>
      </c>
      <c r="H1272" t="s">
        <v>21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Q1272">
        <v>60.7</v>
      </c>
    </row>
    <row r="1273" spans="1:17">
      <c r="A1273" t="s">
        <v>1304</v>
      </c>
      <c r="B1273">
        <f>COUNTIF($A$2:A1273,A1273)</f>
        <v>1</v>
      </c>
      <c r="C1273" s="2">
        <v>45728</v>
      </c>
      <c r="D1273" t="s">
        <v>723</v>
      </c>
      <c r="E1273" t="s">
        <v>23</v>
      </c>
      <c r="F1273" t="s">
        <v>24</v>
      </c>
      <c r="G1273" t="s">
        <v>29</v>
      </c>
      <c r="H1273" t="s">
        <v>21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Q1273">
        <v>36.5</v>
      </c>
    </row>
    <row r="1274" spans="1:17">
      <c r="A1274" t="s">
        <v>1305</v>
      </c>
      <c r="B1274">
        <f>COUNTIF($A$2:A1274,A1274)</f>
        <v>1</v>
      </c>
      <c r="C1274" s="2">
        <v>45786</v>
      </c>
      <c r="D1274" t="s">
        <v>723</v>
      </c>
      <c r="E1274" t="s">
        <v>23</v>
      </c>
      <c r="F1274" t="s">
        <v>24</v>
      </c>
      <c r="G1274" t="s">
        <v>41</v>
      </c>
      <c r="H1274" t="s">
        <v>26</v>
      </c>
      <c r="I1274">
        <v>1</v>
      </c>
      <c r="J1274">
        <v>1</v>
      </c>
      <c r="K1274">
        <v>1</v>
      </c>
      <c r="L1274">
        <v>0</v>
      </c>
      <c r="M1274">
        <v>0</v>
      </c>
      <c r="N1274">
        <v>3</v>
      </c>
      <c r="O1274">
        <v>0</v>
      </c>
      <c r="Q1274">
        <v>69.7</v>
      </c>
    </row>
    <row r="1275" spans="1:17">
      <c r="A1275" t="s">
        <v>1306</v>
      </c>
      <c r="B1275">
        <f>COUNTIF($A$2:A1275,A1275)</f>
        <v>1</v>
      </c>
      <c r="C1275" s="2">
        <v>45676</v>
      </c>
      <c r="D1275" t="s">
        <v>723</v>
      </c>
      <c r="E1275" t="s">
        <v>32</v>
      </c>
      <c r="F1275" t="s">
        <v>19</v>
      </c>
      <c r="G1275" t="s">
        <v>41</v>
      </c>
      <c r="H1275" t="s">
        <v>30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Q1275">
        <v>81.8</v>
      </c>
    </row>
    <row r="1276" spans="1:17">
      <c r="A1276" t="s">
        <v>1307</v>
      </c>
      <c r="B1276">
        <f>COUNTIF($A$2:A1276,A1276)</f>
        <v>1</v>
      </c>
      <c r="C1276" s="2">
        <v>45681</v>
      </c>
      <c r="D1276" t="s">
        <v>723</v>
      </c>
      <c r="E1276" t="s">
        <v>23</v>
      </c>
      <c r="F1276" t="s">
        <v>24</v>
      </c>
      <c r="G1276" t="s">
        <v>39</v>
      </c>
      <c r="H1276" t="s">
        <v>26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1</v>
      </c>
      <c r="O1276">
        <v>0</v>
      </c>
      <c r="Q1276">
        <v>78.3</v>
      </c>
    </row>
    <row r="1277" spans="1:17">
      <c r="A1277" t="s">
        <v>1308</v>
      </c>
      <c r="B1277">
        <f>COUNTIF($A$2:A1277,A1277)</f>
        <v>1</v>
      </c>
      <c r="C1277" s="2">
        <v>45719</v>
      </c>
      <c r="D1277" t="s">
        <v>723</v>
      </c>
      <c r="E1277" t="s">
        <v>28</v>
      </c>
      <c r="F1277" t="s">
        <v>24</v>
      </c>
      <c r="G1277" t="s">
        <v>39</v>
      </c>
      <c r="H1277" t="s">
        <v>26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Q1277">
        <v>79.400000000000006</v>
      </c>
    </row>
    <row r="1278" spans="1:17">
      <c r="A1278" t="s">
        <v>1309</v>
      </c>
      <c r="B1278">
        <f>COUNTIF($A$2:A1278,A1278)</f>
        <v>1</v>
      </c>
      <c r="C1278" s="2">
        <v>45804</v>
      </c>
      <c r="D1278" t="s">
        <v>723</v>
      </c>
      <c r="E1278" t="s">
        <v>18</v>
      </c>
      <c r="F1278" t="s">
        <v>19</v>
      </c>
      <c r="G1278" t="s">
        <v>39</v>
      </c>
      <c r="H1278" t="s">
        <v>26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0</v>
      </c>
      <c r="O1278">
        <v>0</v>
      </c>
      <c r="Q1278">
        <v>54.9</v>
      </c>
    </row>
    <row r="1279" spans="1:17">
      <c r="A1279" t="s">
        <v>1310</v>
      </c>
      <c r="B1279">
        <f>COUNTIF($A$2:A1279,A1279)</f>
        <v>1</v>
      </c>
      <c r="C1279" s="2">
        <v>45770</v>
      </c>
      <c r="D1279" t="s">
        <v>723</v>
      </c>
      <c r="E1279" t="s">
        <v>23</v>
      </c>
      <c r="F1279" t="s">
        <v>19</v>
      </c>
      <c r="G1279" t="s">
        <v>25</v>
      </c>
      <c r="H1279" t="s">
        <v>21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Q1279">
        <v>54.9</v>
      </c>
    </row>
    <row r="1280" spans="1:17">
      <c r="A1280" t="s">
        <v>1311</v>
      </c>
      <c r="B1280">
        <f>COUNTIF($A$2:A1280,A1280)</f>
        <v>1</v>
      </c>
      <c r="C1280" s="2">
        <v>45698</v>
      </c>
      <c r="D1280" t="s">
        <v>723</v>
      </c>
      <c r="E1280" t="s">
        <v>28</v>
      </c>
      <c r="F1280" t="s">
        <v>19</v>
      </c>
      <c r="G1280" t="s">
        <v>41</v>
      </c>
      <c r="H1280" t="s">
        <v>26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Q1280">
        <v>28.7</v>
      </c>
    </row>
    <row r="1281" spans="1:17">
      <c r="A1281" t="s">
        <v>1312</v>
      </c>
      <c r="B1281">
        <f>COUNTIF($A$2:A1281,A1281)</f>
        <v>1</v>
      </c>
      <c r="C1281" s="2">
        <v>45699</v>
      </c>
      <c r="D1281" t="s">
        <v>723</v>
      </c>
      <c r="E1281" t="s">
        <v>18</v>
      </c>
      <c r="F1281" t="s">
        <v>24</v>
      </c>
      <c r="G1281" t="s">
        <v>25</v>
      </c>
      <c r="H1281" t="s">
        <v>26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Q1281">
        <v>68.8</v>
      </c>
    </row>
    <row r="1282" spans="1:17">
      <c r="A1282" t="s">
        <v>1313</v>
      </c>
      <c r="B1282">
        <f>COUNTIF($A$2:A1282,A1282)</f>
        <v>1</v>
      </c>
      <c r="C1282" s="2">
        <v>45678</v>
      </c>
      <c r="D1282" t="s">
        <v>723</v>
      </c>
      <c r="E1282" t="s">
        <v>28</v>
      </c>
      <c r="F1282" t="s">
        <v>19</v>
      </c>
      <c r="G1282" t="s">
        <v>29</v>
      </c>
      <c r="H1282" t="s">
        <v>26</v>
      </c>
      <c r="I1282">
        <v>1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0</v>
      </c>
      <c r="Q1282">
        <v>43.5</v>
      </c>
    </row>
    <row r="1283" spans="1:17">
      <c r="A1283" t="s">
        <v>1314</v>
      </c>
      <c r="B1283">
        <f>COUNTIF($A$2:A1283,A1283)</f>
        <v>1</v>
      </c>
      <c r="C1283" s="2">
        <v>45690</v>
      </c>
      <c r="D1283" t="s">
        <v>723</v>
      </c>
      <c r="E1283" t="s">
        <v>23</v>
      </c>
      <c r="F1283" t="s">
        <v>19</v>
      </c>
      <c r="G1283" t="s">
        <v>41</v>
      </c>
      <c r="H1283" t="s">
        <v>26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Q1283">
        <v>62.6</v>
      </c>
    </row>
    <row r="1284" spans="1:17">
      <c r="A1284" t="s">
        <v>1315</v>
      </c>
      <c r="B1284">
        <f>COUNTIF($A$2:A1284,A1284)</f>
        <v>1</v>
      </c>
      <c r="C1284" s="2">
        <v>45690</v>
      </c>
      <c r="D1284" t="s">
        <v>723</v>
      </c>
      <c r="E1284" t="s">
        <v>23</v>
      </c>
      <c r="F1284" t="s">
        <v>24</v>
      </c>
      <c r="G1284" t="s">
        <v>25</v>
      </c>
      <c r="H1284" t="s">
        <v>26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Q1284">
        <v>54.1</v>
      </c>
    </row>
    <row r="1285" spans="1:17">
      <c r="A1285" t="s">
        <v>1316</v>
      </c>
      <c r="B1285">
        <f>COUNTIF($A$2:A1285,A1285)</f>
        <v>1</v>
      </c>
      <c r="C1285" s="2">
        <v>45714</v>
      </c>
      <c r="D1285" t="s">
        <v>723</v>
      </c>
      <c r="E1285" t="s">
        <v>23</v>
      </c>
      <c r="F1285" t="s">
        <v>34</v>
      </c>
      <c r="G1285" t="s">
        <v>41</v>
      </c>
      <c r="H1285" t="s">
        <v>26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0</v>
      </c>
      <c r="Q1285">
        <v>80.099999999999994</v>
      </c>
    </row>
    <row r="1286" spans="1:17">
      <c r="A1286" t="s">
        <v>1317</v>
      </c>
      <c r="B1286">
        <f>COUNTIF($A$2:A1286,A1286)</f>
        <v>1</v>
      </c>
      <c r="C1286" s="2">
        <v>45769</v>
      </c>
      <c r="D1286" t="s">
        <v>723</v>
      </c>
      <c r="E1286" t="s">
        <v>18</v>
      </c>
      <c r="F1286" t="s">
        <v>24</v>
      </c>
      <c r="G1286" t="s">
        <v>41</v>
      </c>
      <c r="H1286" t="s">
        <v>30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Q1286">
        <v>69.5</v>
      </c>
    </row>
    <row r="1287" spans="1:17">
      <c r="A1287" t="s">
        <v>1318</v>
      </c>
      <c r="B1287">
        <f>COUNTIF($A$2:A1287,A1287)</f>
        <v>1</v>
      </c>
      <c r="C1287" s="2">
        <v>45727</v>
      </c>
      <c r="D1287" t="s">
        <v>723</v>
      </c>
      <c r="E1287" t="s">
        <v>18</v>
      </c>
      <c r="F1287" t="s">
        <v>19</v>
      </c>
      <c r="G1287" t="s">
        <v>25</v>
      </c>
      <c r="H1287" t="s">
        <v>21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2</v>
      </c>
      <c r="O1287">
        <v>0</v>
      </c>
      <c r="Q1287">
        <v>46.6</v>
      </c>
    </row>
    <row r="1288" spans="1:17">
      <c r="A1288" t="s">
        <v>1319</v>
      </c>
      <c r="B1288">
        <f>COUNTIF($A$2:A1288,A1288)</f>
        <v>1</v>
      </c>
      <c r="C1288" s="2">
        <v>45785</v>
      </c>
      <c r="D1288" t="s">
        <v>723</v>
      </c>
      <c r="E1288" t="s">
        <v>32</v>
      </c>
      <c r="F1288" t="s">
        <v>24</v>
      </c>
      <c r="G1288" t="s">
        <v>25</v>
      </c>
      <c r="H1288" t="s">
        <v>30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Q1288">
        <v>54.9</v>
      </c>
    </row>
    <row r="1289" spans="1:17">
      <c r="A1289" t="s">
        <v>1320</v>
      </c>
      <c r="B1289">
        <f>COUNTIF($A$2:A1289,A1289)</f>
        <v>1</v>
      </c>
      <c r="C1289" s="2">
        <v>45726</v>
      </c>
      <c r="D1289" t="s">
        <v>723</v>
      </c>
      <c r="E1289" t="s">
        <v>28</v>
      </c>
      <c r="F1289" t="s">
        <v>19</v>
      </c>
      <c r="G1289" t="s">
        <v>25</v>
      </c>
      <c r="H1289" t="s">
        <v>26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Q1289">
        <v>100</v>
      </c>
    </row>
    <row r="1290" spans="1:17">
      <c r="A1290" t="s">
        <v>1321</v>
      </c>
      <c r="B1290">
        <f>COUNTIF($A$2:A1290,A1290)</f>
        <v>1</v>
      </c>
      <c r="C1290" s="2">
        <v>45763</v>
      </c>
      <c r="D1290" t="s">
        <v>723</v>
      </c>
      <c r="E1290" t="s">
        <v>28</v>
      </c>
      <c r="F1290" t="s">
        <v>19</v>
      </c>
      <c r="G1290" t="s">
        <v>29</v>
      </c>
      <c r="H1290" t="s">
        <v>26</v>
      </c>
      <c r="I1290">
        <v>1</v>
      </c>
      <c r="J1290">
        <v>1</v>
      </c>
      <c r="K1290">
        <v>1</v>
      </c>
      <c r="L1290">
        <v>0</v>
      </c>
      <c r="M1290">
        <v>0</v>
      </c>
      <c r="N1290">
        <v>1</v>
      </c>
      <c r="O1290">
        <v>0</v>
      </c>
      <c r="Q1290">
        <v>80.5</v>
      </c>
    </row>
    <row r="1291" spans="1:17">
      <c r="A1291" t="s">
        <v>1322</v>
      </c>
      <c r="B1291">
        <f>COUNTIF($A$2:A1291,A1291)</f>
        <v>1</v>
      </c>
      <c r="C1291" s="2">
        <v>45717</v>
      </c>
      <c r="D1291" t="s">
        <v>723</v>
      </c>
      <c r="E1291" t="s">
        <v>23</v>
      </c>
      <c r="F1291" t="s">
        <v>34</v>
      </c>
      <c r="G1291" t="s">
        <v>25</v>
      </c>
      <c r="H1291" t="s">
        <v>21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Q1291">
        <v>51.2</v>
      </c>
    </row>
    <row r="1292" spans="1:17">
      <c r="A1292" t="s">
        <v>1323</v>
      </c>
      <c r="B1292">
        <f>COUNTIF($A$2:A1292,A1292)</f>
        <v>1</v>
      </c>
      <c r="C1292" s="2">
        <v>45675</v>
      </c>
      <c r="D1292" t="s">
        <v>723</v>
      </c>
      <c r="E1292" t="s">
        <v>32</v>
      </c>
      <c r="F1292" t="s">
        <v>19</v>
      </c>
      <c r="G1292" t="s">
        <v>25</v>
      </c>
      <c r="H1292" t="s">
        <v>30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Q1292">
        <v>42.5</v>
      </c>
    </row>
    <row r="1293" spans="1:17">
      <c r="A1293" t="s">
        <v>1324</v>
      </c>
      <c r="B1293">
        <f>COUNTIF($A$2:A1293,A1293)</f>
        <v>1</v>
      </c>
      <c r="C1293" s="2">
        <v>45746</v>
      </c>
      <c r="D1293" t="s">
        <v>723</v>
      </c>
      <c r="E1293" t="s">
        <v>18</v>
      </c>
      <c r="F1293" t="s">
        <v>24</v>
      </c>
      <c r="G1293" t="s">
        <v>29</v>
      </c>
      <c r="H1293" t="s">
        <v>26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Q1293">
        <v>72.5</v>
      </c>
    </row>
    <row r="1294" spans="1:17">
      <c r="A1294" t="s">
        <v>1325</v>
      </c>
      <c r="B1294">
        <f>COUNTIF($A$2:A1294,A1294)</f>
        <v>1</v>
      </c>
      <c r="C1294" s="2">
        <v>45803</v>
      </c>
      <c r="D1294" t="s">
        <v>723</v>
      </c>
      <c r="E1294" t="s">
        <v>23</v>
      </c>
      <c r="F1294" t="s">
        <v>24</v>
      </c>
      <c r="G1294" t="s">
        <v>41</v>
      </c>
      <c r="H1294" t="s">
        <v>30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Q1294">
        <v>74.400000000000006</v>
      </c>
    </row>
    <row r="1295" spans="1:17">
      <c r="A1295" t="s">
        <v>1326</v>
      </c>
      <c r="B1295">
        <f>COUNTIF($A$2:A1295,A1295)</f>
        <v>1</v>
      </c>
      <c r="C1295" s="2">
        <v>45735</v>
      </c>
      <c r="D1295" t="s">
        <v>723</v>
      </c>
      <c r="E1295" t="s">
        <v>28</v>
      </c>
      <c r="F1295" t="s">
        <v>19</v>
      </c>
      <c r="G1295" t="s">
        <v>41</v>
      </c>
      <c r="H1295" t="s">
        <v>26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Q1295">
        <v>78.400000000000006</v>
      </c>
    </row>
    <row r="1296" spans="1:17">
      <c r="A1296" t="s">
        <v>1327</v>
      </c>
      <c r="B1296">
        <f>COUNTIF($A$2:A1296,A1296)</f>
        <v>1</v>
      </c>
      <c r="C1296" s="2">
        <v>45744</v>
      </c>
      <c r="D1296" t="s">
        <v>723</v>
      </c>
      <c r="E1296" t="s">
        <v>18</v>
      </c>
      <c r="F1296" t="s">
        <v>19</v>
      </c>
      <c r="G1296" t="s">
        <v>39</v>
      </c>
      <c r="H1296" t="s">
        <v>26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Q1296">
        <v>71.5</v>
      </c>
    </row>
    <row r="1297" spans="1:17">
      <c r="A1297" t="s">
        <v>1328</v>
      </c>
      <c r="B1297">
        <f>COUNTIF($A$2:A1297,A1297)</f>
        <v>1</v>
      </c>
      <c r="C1297" s="2">
        <v>45805</v>
      </c>
      <c r="D1297" t="s">
        <v>723</v>
      </c>
      <c r="E1297" t="s">
        <v>32</v>
      </c>
      <c r="F1297" t="s">
        <v>19</v>
      </c>
      <c r="G1297" t="s">
        <v>41</v>
      </c>
      <c r="H1297" t="s">
        <v>26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Q1297">
        <v>66.7</v>
      </c>
    </row>
    <row r="1298" spans="1:17">
      <c r="A1298" t="s">
        <v>1329</v>
      </c>
      <c r="B1298">
        <f>COUNTIF($A$2:A1298,A1298)</f>
        <v>1</v>
      </c>
      <c r="C1298" s="2">
        <v>45808</v>
      </c>
      <c r="D1298" t="s">
        <v>723</v>
      </c>
      <c r="E1298" t="s">
        <v>32</v>
      </c>
      <c r="F1298" t="s">
        <v>19</v>
      </c>
      <c r="G1298" t="s">
        <v>39</v>
      </c>
      <c r="H1298" t="s">
        <v>30</v>
      </c>
      <c r="I1298">
        <v>1</v>
      </c>
      <c r="J1298">
        <v>1</v>
      </c>
      <c r="K1298">
        <v>1</v>
      </c>
      <c r="L1298">
        <v>1</v>
      </c>
      <c r="M1298">
        <v>1496.09</v>
      </c>
      <c r="N1298">
        <v>0</v>
      </c>
      <c r="O1298">
        <v>0</v>
      </c>
      <c r="P1298">
        <v>7</v>
      </c>
      <c r="Q1298">
        <v>60.4</v>
      </c>
    </row>
    <row r="1299" spans="1:17">
      <c r="A1299" t="s">
        <v>1330</v>
      </c>
      <c r="B1299">
        <f>COUNTIF($A$2:A1299,A1299)</f>
        <v>1</v>
      </c>
      <c r="C1299" s="2">
        <v>45787</v>
      </c>
      <c r="D1299" t="s">
        <v>723</v>
      </c>
      <c r="E1299" t="s">
        <v>18</v>
      </c>
      <c r="F1299" t="s">
        <v>24</v>
      </c>
      <c r="G1299" t="s">
        <v>39</v>
      </c>
      <c r="H1299" t="s">
        <v>26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Q1299">
        <v>72.900000000000006</v>
      </c>
    </row>
    <row r="1300" spans="1:17">
      <c r="A1300" t="s">
        <v>1331</v>
      </c>
      <c r="B1300">
        <f>COUNTIF($A$2:A1300,A1300)</f>
        <v>1</v>
      </c>
      <c r="C1300" s="2">
        <v>45794</v>
      </c>
      <c r="D1300" t="s">
        <v>723</v>
      </c>
      <c r="E1300" t="s">
        <v>23</v>
      </c>
      <c r="F1300" t="s">
        <v>24</v>
      </c>
      <c r="G1300" t="s">
        <v>25</v>
      </c>
      <c r="H1300" t="s">
        <v>26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3</v>
      </c>
      <c r="O1300">
        <v>0</v>
      </c>
    </row>
    <row r="1301" spans="1:17">
      <c r="A1301" t="s">
        <v>1332</v>
      </c>
      <c r="B1301">
        <f>COUNTIF($A$2:A1301,A1301)</f>
        <v>1</v>
      </c>
      <c r="C1301" s="2">
        <v>45675</v>
      </c>
      <c r="D1301" t="s">
        <v>723</v>
      </c>
      <c r="E1301" t="s">
        <v>32</v>
      </c>
      <c r="F1301" t="s">
        <v>24</v>
      </c>
      <c r="G1301" t="s">
        <v>25</v>
      </c>
      <c r="H1301" t="s">
        <v>30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Q1301">
        <v>55.2</v>
      </c>
    </row>
    <row r="1302" spans="1:17">
      <c r="A1302" t="s">
        <v>1333</v>
      </c>
      <c r="B1302">
        <f>COUNTIF($A$2:A1302,A1302)</f>
        <v>1</v>
      </c>
      <c r="C1302" s="2">
        <v>45781</v>
      </c>
      <c r="D1302" t="s">
        <v>723</v>
      </c>
      <c r="E1302" t="s">
        <v>23</v>
      </c>
      <c r="F1302" t="s">
        <v>24</v>
      </c>
      <c r="G1302" t="s">
        <v>41</v>
      </c>
      <c r="H1302" t="s">
        <v>26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Q1302">
        <v>67.8</v>
      </c>
    </row>
    <row r="1303" spans="1:17">
      <c r="A1303" t="s">
        <v>1334</v>
      </c>
      <c r="B1303">
        <f>COUNTIF($A$2:A1303,A1303)</f>
        <v>1</v>
      </c>
      <c r="C1303" s="2">
        <v>45741</v>
      </c>
      <c r="D1303" t="s">
        <v>723</v>
      </c>
      <c r="E1303" t="s">
        <v>18</v>
      </c>
      <c r="F1303" t="s">
        <v>24</v>
      </c>
      <c r="G1303" t="s">
        <v>25</v>
      </c>
      <c r="H1303" t="s">
        <v>26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2</v>
      </c>
      <c r="O1303">
        <v>0</v>
      </c>
      <c r="Q1303">
        <v>70</v>
      </c>
    </row>
    <row r="1304" spans="1:17">
      <c r="A1304" t="s">
        <v>1335</v>
      </c>
      <c r="B1304">
        <f>COUNTIF($A$2:A1304,A1304)</f>
        <v>1</v>
      </c>
      <c r="C1304" s="2">
        <v>45715</v>
      </c>
      <c r="D1304" t="s">
        <v>723</v>
      </c>
      <c r="E1304" t="s">
        <v>18</v>
      </c>
      <c r="F1304" t="s">
        <v>24</v>
      </c>
      <c r="G1304" t="s">
        <v>41</v>
      </c>
      <c r="H1304" t="s">
        <v>21</v>
      </c>
      <c r="I1304">
        <v>1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0</v>
      </c>
      <c r="Q1304">
        <v>51.1</v>
      </c>
    </row>
    <row r="1305" spans="1:17">
      <c r="A1305" t="s">
        <v>1336</v>
      </c>
      <c r="B1305">
        <f>COUNTIF($A$2:A1305,A1305)</f>
        <v>1</v>
      </c>
      <c r="C1305" s="2">
        <v>45671</v>
      </c>
      <c r="D1305" t="s">
        <v>723</v>
      </c>
      <c r="E1305" t="s">
        <v>23</v>
      </c>
      <c r="F1305" t="s">
        <v>24</v>
      </c>
      <c r="G1305" t="s">
        <v>29</v>
      </c>
      <c r="H1305" t="s">
        <v>21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0</v>
      </c>
      <c r="Q1305">
        <v>57</v>
      </c>
    </row>
    <row r="1306" spans="1:17">
      <c r="A1306" t="s">
        <v>1337</v>
      </c>
      <c r="B1306">
        <f>COUNTIF($A$2:A1306,A1306)</f>
        <v>1</v>
      </c>
      <c r="C1306" s="2">
        <v>45758</v>
      </c>
      <c r="D1306" t="s">
        <v>723</v>
      </c>
      <c r="E1306" t="s">
        <v>28</v>
      </c>
      <c r="F1306" t="s">
        <v>24</v>
      </c>
      <c r="G1306" t="s">
        <v>41</v>
      </c>
      <c r="H1306" t="s">
        <v>26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Q1306">
        <v>47.1</v>
      </c>
    </row>
    <row r="1307" spans="1:17">
      <c r="A1307" t="s">
        <v>1338</v>
      </c>
      <c r="B1307">
        <f>COUNTIF($A$2:A1307,A1307)</f>
        <v>1</v>
      </c>
      <c r="C1307" s="2">
        <v>45742</v>
      </c>
      <c r="D1307" t="s">
        <v>723</v>
      </c>
      <c r="E1307" t="s">
        <v>28</v>
      </c>
      <c r="F1307" t="s">
        <v>19</v>
      </c>
      <c r="G1307" t="s">
        <v>41</v>
      </c>
      <c r="H1307" t="s">
        <v>21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Q1307">
        <v>30.7</v>
      </c>
    </row>
    <row r="1308" spans="1:17">
      <c r="A1308" t="s">
        <v>1339</v>
      </c>
      <c r="B1308">
        <f>COUNTIF($A$2:A1308,A1308)</f>
        <v>1</v>
      </c>
      <c r="C1308" s="2">
        <v>45700</v>
      </c>
      <c r="D1308" t="s">
        <v>723</v>
      </c>
      <c r="E1308" t="s">
        <v>23</v>
      </c>
      <c r="F1308" t="s">
        <v>19</v>
      </c>
      <c r="G1308" t="s">
        <v>41</v>
      </c>
      <c r="H1308" t="s">
        <v>26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Q1308">
        <v>57.3</v>
      </c>
    </row>
    <row r="1309" spans="1:17">
      <c r="A1309" t="s">
        <v>1340</v>
      </c>
      <c r="B1309">
        <f>COUNTIF($A$2:A1309,A1309)</f>
        <v>1</v>
      </c>
      <c r="C1309" s="2">
        <v>45706</v>
      </c>
      <c r="D1309" t="s">
        <v>723</v>
      </c>
      <c r="E1309" t="s">
        <v>23</v>
      </c>
      <c r="F1309" t="s">
        <v>34</v>
      </c>
      <c r="G1309" t="s">
        <v>29</v>
      </c>
      <c r="H1309" t="s">
        <v>21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Q1309">
        <v>70</v>
      </c>
    </row>
    <row r="1310" spans="1:17">
      <c r="A1310" t="s">
        <v>1341</v>
      </c>
      <c r="B1310">
        <f>COUNTIF($A$2:A1310,A1310)</f>
        <v>1</v>
      </c>
      <c r="C1310" s="2">
        <v>45802</v>
      </c>
      <c r="D1310" t="s">
        <v>723</v>
      </c>
      <c r="E1310" t="s">
        <v>28</v>
      </c>
      <c r="F1310" t="s">
        <v>19</v>
      </c>
      <c r="G1310" t="s">
        <v>41</v>
      </c>
      <c r="H1310" t="s">
        <v>26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Q1310">
        <v>59.7</v>
      </c>
    </row>
    <row r="1311" spans="1:17">
      <c r="A1311" t="s">
        <v>1342</v>
      </c>
      <c r="B1311">
        <f>COUNTIF($A$2:A1311,A1311)</f>
        <v>1</v>
      </c>
      <c r="C1311" s="2">
        <v>45800</v>
      </c>
      <c r="D1311" t="s">
        <v>723</v>
      </c>
      <c r="E1311" t="s">
        <v>28</v>
      </c>
      <c r="F1311" t="s">
        <v>19</v>
      </c>
      <c r="G1311" t="s">
        <v>29</v>
      </c>
      <c r="H1311" t="s">
        <v>21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Q1311">
        <v>68.8</v>
      </c>
    </row>
    <row r="1312" spans="1:17">
      <c r="A1312" t="s">
        <v>1343</v>
      </c>
      <c r="B1312">
        <f>COUNTIF($A$2:A1312,A1312)</f>
        <v>1</v>
      </c>
      <c r="C1312" s="2">
        <v>45673</v>
      </c>
      <c r="D1312" t="s">
        <v>723</v>
      </c>
      <c r="E1312" t="s">
        <v>18</v>
      </c>
      <c r="F1312" t="s">
        <v>19</v>
      </c>
      <c r="G1312" t="s">
        <v>25</v>
      </c>
      <c r="H1312" t="s">
        <v>26</v>
      </c>
      <c r="I1312">
        <v>1</v>
      </c>
      <c r="J1312">
        <v>1</v>
      </c>
      <c r="K1312">
        <v>1</v>
      </c>
      <c r="L1312">
        <v>1</v>
      </c>
      <c r="M1312">
        <v>428.37</v>
      </c>
      <c r="N1312">
        <v>0</v>
      </c>
      <c r="O1312">
        <v>0</v>
      </c>
      <c r="P1312">
        <v>9</v>
      </c>
      <c r="Q1312">
        <v>88.3</v>
      </c>
    </row>
    <row r="1313" spans="1:17">
      <c r="A1313" t="s">
        <v>1344</v>
      </c>
      <c r="B1313">
        <f>COUNTIF($A$2:A1313,A1313)</f>
        <v>1</v>
      </c>
      <c r="C1313" s="2">
        <v>45676</v>
      </c>
      <c r="D1313" t="s">
        <v>723</v>
      </c>
      <c r="E1313" t="s">
        <v>23</v>
      </c>
      <c r="F1313" t="s">
        <v>19</v>
      </c>
      <c r="G1313" t="s">
        <v>20</v>
      </c>
      <c r="H1313" t="s">
        <v>21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Q1313">
        <v>83.4</v>
      </c>
    </row>
    <row r="1314" spans="1:17">
      <c r="A1314" t="s">
        <v>1345</v>
      </c>
      <c r="B1314">
        <f>COUNTIF($A$2:A1314,A1314)</f>
        <v>1</v>
      </c>
      <c r="C1314" s="2">
        <v>45795</v>
      </c>
      <c r="D1314" t="s">
        <v>723</v>
      </c>
      <c r="E1314" t="s">
        <v>32</v>
      </c>
      <c r="F1314" t="s">
        <v>24</v>
      </c>
      <c r="G1314" t="s">
        <v>39</v>
      </c>
      <c r="H1314" t="s">
        <v>26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Q1314">
        <v>81.599999999999994</v>
      </c>
    </row>
    <row r="1315" spans="1:17">
      <c r="A1315" t="s">
        <v>1346</v>
      </c>
      <c r="B1315">
        <f>COUNTIF($A$2:A1315,A1315)</f>
        <v>1</v>
      </c>
      <c r="C1315" s="2">
        <v>45680</v>
      </c>
      <c r="D1315" t="s">
        <v>723</v>
      </c>
      <c r="E1315" t="s">
        <v>28</v>
      </c>
      <c r="F1315" t="s">
        <v>34</v>
      </c>
      <c r="G1315" t="s">
        <v>41</v>
      </c>
      <c r="H1315" t="s">
        <v>30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Q1315">
        <v>91.6</v>
      </c>
    </row>
    <row r="1316" spans="1:17">
      <c r="A1316" t="s">
        <v>1347</v>
      </c>
      <c r="B1316">
        <f>COUNTIF($A$2:A1316,A1316)</f>
        <v>1</v>
      </c>
      <c r="C1316" s="2">
        <v>45665</v>
      </c>
      <c r="D1316" t="s">
        <v>723</v>
      </c>
      <c r="E1316" t="s">
        <v>28</v>
      </c>
      <c r="F1316" t="s">
        <v>34</v>
      </c>
      <c r="H1316" t="s">
        <v>30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1</v>
      </c>
      <c r="O1316">
        <v>0</v>
      </c>
      <c r="Q1316">
        <v>61.5</v>
      </c>
    </row>
    <row r="1317" spans="1:17">
      <c r="A1317" t="s">
        <v>1348</v>
      </c>
      <c r="B1317">
        <f>COUNTIF($A$2:A1317,A1317)</f>
        <v>1</v>
      </c>
      <c r="C1317" s="2">
        <v>45707</v>
      </c>
      <c r="D1317" t="s">
        <v>723</v>
      </c>
      <c r="E1317" t="s">
        <v>18</v>
      </c>
      <c r="F1317" t="s">
        <v>24</v>
      </c>
      <c r="G1317" t="s">
        <v>25</v>
      </c>
      <c r="H1317" t="s">
        <v>30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7">
      <c r="A1318" t="s">
        <v>1349</v>
      </c>
      <c r="B1318">
        <f>COUNTIF($A$2:A1318,A1318)</f>
        <v>1</v>
      </c>
      <c r="C1318" s="2">
        <v>45698</v>
      </c>
      <c r="D1318" t="s">
        <v>723</v>
      </c>
      <c r="E1318" t="s">
        <v>32</v>
      </c>
      <c r="F1318" t="s">
        <v>24</v>
      </c>
      <c r="G1318" t="s">
        <v>25</v>
      </c>
      <c r="H1318" t="s">
        <v>26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Q1318">
        <v>32.6</v>
      </c>
    </row>
    <row r="1319" spans="1:17">
      <c r="A1319" t="s">
        <v>1350</v>
      </c>
      <c r="B1319">
        <f>COUNTIF($A$2:A1319,A1319)</f>
        <v>1</v>
      </c>
      <c r="C1319" s="2">
        <v>45760</v>
      </c>
      <c r="D1319" t="s">
        <v>723</v>
      </c>
      <c r="E1319" t="s">
        <v>32</v>
      </c>
      <c r="F1319" t="s">
        <v>24</v>
      </c>
      <c r="G1319" t="s">
        <v>29</v>
      </c>
      <c r="H1319" t="s">
        <v>26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Q1319">
        <v>73.900000000000006</v>
      </c>
    </row>
    <row r="1320" spans="1:17">
      <c r="A1320" t="s">
        <v>1351</v>
      </c>
      <c r="B1320">
        <f>COUNTIF($A$2:A1320,A1320)</f>
        <v>1</v>
      </c>
      <c r="C1320" s="2">
        <v>45797</v>
      </c>
      <c r="D1320" t="s">
        <v>723</v>
      </c>
      <c r="E1320" t="s">
        <v>28</v>
      </c>
      <c r="F1320" t="s">
        <v>24</v>
      </c>
      <c r="G1320" t="s">
        <v>25</v>
      </c>
      <c r="H1320" t="s">
        <v>26</v>
      </c>
      <c r="I1320">
        <v>1</v>
      </c>
      <c r="J1320">
        <v>1</v>
      </c>
      <c r="K1320">
        <v>1</v>
      </c>
      <c r="L1320">
        <v>1</v>
      </c>
      <c r="M1320">
        <v>444.06</v>
      </c>
      <c r="N1320">
        <v>0</v>
      </c>
      <c r="O1320">
        <v>0</v>
      </c>
      <c r="P1320">
        <v>9</v>
      </c>
      <c r="Q1320">
        <v>99.9</v>
      </c>
    </row>
    <row r="1321" spans="1:17">
      <c r="A1321" t="s">
        <v>1352</v>
      </c>
      <c r="B1321">
        <f>COUNTIF($A$2:A1321,A1321)</f>
        <v>1</v>
      </c>
      <c r="C1321" s="2">
        <v>45790</v>
      </c>
      <c r="D1321" t="s">
        <v>723</v>
      </c>
      <c r="E1321" t="s">
        <v>32</v>
      </c>
      <c r="F1321" t="s">
        <v>24</v>
      </c>
      <c r="G1321" t="s">
        <v>29</v>
      </c>
      <c r="H1321" t="s">
        <v>21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1</v>
      </c>
      <c r="O1321">
        <v>0</v>
      </c>
      <c r="Q1321">
        <v>62.4</v>
      </c>
    </row>
    <row r="1322" spans="1:17">
      <c r="A1322" t="s">
        <v>1353</v>
      </c>
      <c r="B1322">
        <f>COUNTIF($A$2:A1322,A1322)</f>
        <v>1</v>
      </c>
      <c r="C1322" s="2">
        <v>45805</v>
      </c>
      <c r="D1322" t="s">
        <v>723</v>
      </c>
      <c r="E1322" t="s">
        <v>32</v>
      </c>
      <c r="F1322" t="s">
        <v>19</v>
      </c>
      <c r="G1322" t="s">
        <v>29</v>
      </c>
      <c r="H1322" t="s">
        <v>21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Q1322">
        <v>46.1</v>
      </c>
    </row>
    <row r="1323" spans="1:17">
      <c r="A1323" t="s">
        <v>1354</v>
      </c>
      <c r="B1323">
        <f>COUNTIF($A$2:A1323,A1323)</f>
        <v>1</v>
      </c>
      <c r="C1323" s="2">
        <v>45735</v>
      </c>
      <c r="D1323" t="s">
        <v>723</v>
      </c>
      <c r="E1323" t="s">
        <v>23</v>
      </c>
      <c r="F1323" t="s">
        <v>24</v>
      </c>
      <c r="G1323" t="s">
        <v>25</v>
      </c>
      <c r="H1323" t="s">
        <v>26</v>
      </c>
      <c r="I1323">
        <v>1</v>
      </c>
      <c r="J1323">
        <v>1</v>
      </c>
      <c r="K1323">
        <v>1</v>
      </c>
      <c r="L1323">
        <v>1</v>
      </c>
      <c r="M1323">
        <v>2660.21</v>
      </c>
      <c r="N1323">
        <v>0</v>
      </c>
      <c r="O1323">
        <v>0</v>
      </c>
      <c r="P1323">
        <v>3</v>
      </c>
      <c r="Q1323">
        <v>73.900000000000006</v>
      </c>
    </row>
    <row r="1324" spans="1:17">
      <c r="A1324" t="s">
        <v>1355</v>
      </c>
      <c r="B1324">
        <f>COUNTIF($A$2:A1324,A1324)</f>
        <v>1</v>
      </c>
      <c r="C1324" s="2">
        <v>45691</v>
      </c>
      <c r="D1324" t="s">
        <v>723</v>
      </c>
      <c r="E1324" t="s">
        <v>18</v>
      </c>
      <c r="F1324" t="s">
        <v>24</v>
      </c>
      <c r="G1324" t="s">
        <v>20</v>
      </c>
      <c r="H1324" t="s">
        <v>30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Q1324">
        <v>90</v>
      </c>
    </row>
    <row r="1325" spans="1:17">
      <c r="A1325" t="s">
        <v>1356</v>
      </c>
      <c r="B1325">
        <f>COUNTIF($A$2:A1325,A1325)</f>
        <v>1</v>
      </c>
      <c r="C1325" s="2">
        <v>45714</v>
      </c>
      <c r="D1325" t="s">
        <v>723</v>
      </c>
      <c r="E1325" t="s">
        <v>32</v>
      </c>
      <c r="F1325" t="s">
        <v>24</v>
      </c>
      <c r="G1325" t="s">
        <v>20</v>
      </c>
      <c r="H1325" t="s">
        <v>21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Q1325">
        <v>68.8</v>
      </c>
    </row>
    <row r="1326" spans="1:17">
      <c r="A1326" t="s">
        <v>1357</v>
      </c>
      <c r="B1326">
        <f>COUNTIF($A$2:A1326,A1326)</f>
        <v>1</v>
      </c>
      <c r="C1326" s="2">
        <v>45683</v>
      </c>
      <c r="D1326" t="s">
        <v>723</v>
      </c>
      <c r="E1326" t="s">
        <v>23</v>
      </c>
      <c r="F1326" t="s">
        <v>24</v>
      </c>
      <c r="G1326" t="s">
        <v>29</v>
      </c>
      <c r="H1326" t="s">
        <v>26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Q1326">
        <v>66.599999999999994</v>
      </c>
    </row>
    <row r="1327" spans="1:17">
      <c r="A1327" t="s">
        <v>1358</v>
      </c>
      <c r="B1327">
        <f>COUNTIF($A$2:A1327,A1327)</f>
        <v>1</v>
      </c>
      <c r="C1327" s="2">
        <v>45790</v>
      </c>
      <c r="D1327" t="s">
        <v>723</v>
      </c>
      <c r="E1327" t="s">
        <v>18</v>
      </c>
      <c r="F1327" t="s">
        <v>24</v>
      </c>
      <c r="G1327" t="s">
        <v>25</v>
      </c>
      <c r="H1327" t="s">
        <v>30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Q1327">
        <v>49.7</v>
      </c>
    </row>
    <row r="1328" spans="1:17">
      <c r="A1328" t="s">
        <v>1359</v>
      </c>
      <c r="B1328">
        <f>COUNTIF($A$2:A1328,A1328)</f>
        <v>1</v>
      </c>
      <c r="C1328" s="2">
        <v>45690</v>
      </c>
      <c r="D1328" t="s">
        <v>723</v>
      </c>
      <c r="E1328" t="s">
        <v>32</v>
      </c>
      <c r="F1328" t="s">
        <v>24</v>
      </c>
      <c r="G1328" t="s">
        <v>29</v>
      </c>
      <c r="H1328" t="s">
        <v>21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Q1328">
        <v>67.900000000000006</v>
      </c>
    </row>
    <row r="1329" spans="1:17">
      <c r="A1329" t="s">
        <v>1360</v>
      </c>
      <c r="B1329">
        <f>COUNTIF($A$2:A1329,A1329)</f>
        <v>1</v>
      </c>
      <c r="C1329" s="2">
        <v>45777</v>
      </c>
      <c r="D1329" t="s">
        <v>723</v>
      </c>
      <c r="E1329" t="s">
        <v>23</v>
      </c>
      <c r="F1329" t="s">
        <v>24</v>
      </c>
      <c r="H1329" t="s">
        <v>21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Q1329">
        <v>66.900000000000006</v>
      </c>
    </row>
    <row r="1330" spans="1:17">
      <c r="A1330" t="s">
        <v>1361</v>
      </c>
      <c r="B1330">
        <f>COUNTIF($A$2:A1330,A1330)</f>
        <v>1</v>
      </c>
      <c r="C1330" s="2">
        <v>45745</v>
      </c>
      <c r="D1330" t="s">
        <v>723</v>
      </c>
      <c r="E1330" t="s">
        <v>28</v>
      </c>
      <c r="F1330" t="s">
        <v>24</v>
      </c>
      <c r="G1330" t="s">
        <v>25</v>
      </c>
      <c r="H1330" t="s">
        <v>26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Q1330">
        <v>46.1</v>
      </c>
    </row>
    <row r="1331" spans="1:17">
      <c r="A1331" t="s">
        <v>1362</v>
      </c>
      <c r="B1331">
        <f>COUNTIF($A$2:A1331,A1331)</f>
        <v>1</v>
      </c>
      <c r="C1331" s="2">
        <v>45756</v>
      </c>
      <c r="D1331" t="s">
        <v>723</v>
      </c>
      <c r="E1331" t="s">
        <v>23</v>
      </c>
      <c r="F1331" t="s">
        <v>19</v>
      </c>
      <c r="G1331" t="s">
        <v>39</v>
      </c>
      <c r="H1331" t="s">
        <v>30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Q1331">
        <v>85.6</v>
      </c>
    </row>
    <row r="1332" spans="1:17">
      <c r="A1332" t="s">
        <v>1363</v>
      </c>
      <c r="B1332">
        <f>COUNTIF($A$2:A1332,A1332)</f>
        <v>1</v>
      </c>
      <c r="C1332" s="2">
        <v>45679</v>
      </c>
      <c r="D1332" t="s">
        <v>723</v>
      </c>
      <c r="E1332" t="s">
        <v>32</v>
      </c>
      <c r="F1332" t="s">
        <v>34</v>
      </c>
      <c r="G1332" t="s">
        <v>25</v>
      </c>
      <c r="H1332" t="s">
        <v>26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Q1332">
        <v>39.6</v>
      </c>
    </row>
    <row r="1333" spans="1:17">
      <c r="A1333" t="s">
        <v>1364</v>
      </c>
      <c r="B1333">
        <f>COUNTIF($A$2:A1333,A1333)</f>
        <v>1</v>
      </c>
      <c r="C1333" s="2">
        <v>45684</v>
      </c>
      <c r="D1333" t="s">
        <v>723</v>
      </c>
      <c r="E1333" t="s">
        <v>32</v>
      </c>
      <c r="F1333" t="s">
        <v>24</v>
      </c>
      <c r="G1333" t="s">
        <v>25</v>
      </c>
      <c r="H1333" t="s">
        <v>21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Q1333">
        <v>52.5</v>
      </c>
    </row>
    <row r="1334" spans="1:17">
      <c r="A1334" t="s">
        <v>1365</v>
      </c>
      <c r="B1334">
        <f>COUNTIF($A$2:A1334,A1334)</f>
        <v>1</v>
      </c>
      <c r="C1334" s="2">
        <v>45679</v>
      </c>
      <c r="D1334" t="s">
        <v>723</v>
      </c>
      <c r="E1334" t="s">
        <v>28</v>
      </c>
      <c r="F1334" t="s">
        <v>24</v>
      </c>
      <c r="G1334" t="s">
        <v>41</v>
      </c>
      <c r="H1334" t="s">
        <v>30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Q1334">
        <v>73.5</v>
      </c>
    </row>
    <row r="1335" spans="1:17">
      <c r="A1335" t="s">
        <v>1366</v>
      </c>
      <c r="B1335">
        <f>COUNTIF($A$2:A1335,A1335)</f>
        <v>1</v>
      </c>
      <c r="C1335" s="2">
        <v>45663</v>
      </c>
      <c r="D1335" t="s">
        <v>723</v>
      </c>
      <c r="E1335" t="s">
        <v>23</v>
      </c>
      <c r="F1335" t="s">
        <v>19</v>
      </c>
      <c r="G1335" t="s">
        <v>29</v>
      </c>
      <c r="H1335" t="s">
        <v>26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Q1335">
        <v>62.5</v>
      </c>
    </row>
    <row r="1336" spans="1:17">
      <c r="A1336" t="s">
        <v>1367</v>
      </c>
      <c r="B1336">
        <f>COUNTIF($A$2:A1336,A1336)</f>
        <v>1</v>
      </c>
      <c r="C1336" s="2">
        <v>45763</v>
      </c>
      <c r="D1336" t="s">
        <v>723</v>
      </c>
      <c r="E1336" t="s">
        <v>32</v>
      </c>
      <c r="G1336" t="s">
        <v>25</v>
      </c>
      <c r="H1336" t="s">
        <v>26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Q1336">
        <v>76.900000000000006</v>
      </c>
    </row>
    <row r="1337" spans="1:17">
      <c r="A1337" t="s">
        <v>1368</v>
      </c>
      <c r="B1337">
        <f>COUNTIF($A$2:A1337,A1337)</f>
        <v>1</v>
      </c>
      <c r="C1337" s="2">
        <v>45761</v>
      </c>
      <c r="D1337" t="s">
        <v>723</v>
      </c>
      <c r="E1337" t="s">
        <v>32</v>
      </c>
      <c r="F1337" t="s">
        <v>24</v>
      </c>
      <c r="G1337" t="s">
        <v>25</v>
      </c>
      <c r="H1337" t="s">
        <v>26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Q1337">
        <v>51.4</v>
      </c>
    </row>
    <row r="1338" spans="1:17">
      <c r="A1338" t="s">
        <v>1369</v>
      </c>
      <c r="B1338">
        <f>COUNTIF($A$2:A1338,A1338)</f>
        <v>1</v>
      </c>
      <c r="C1338" s="2">
        <v>45710</v>
      </c>
      <c r="D1338" t="s">
        <v>723</v>
      </c>
      <c r="E1338" t="s">
        <v>23</v>
      </c>
      <c r="F1338" t="s">
        <v>24</v>
      </c>
      <c r="G1338" t="s">
        <v>29</v>
      </c>
      <c r="H1338" t="s">
        <v>21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Q1338">
        <v>59.3</v>
      </c>
    </row>
    <row r="1339" spans="1:17">
      <c r="A1339" t="s">
        <v>1370</v>
      </c>
      <c r="B1339">
        <f>COUNTIF($A$2:A1339,A1339)</f>
        <v>1</v>
      </c>
      <c r="C1339" s="2">
        <v>45725</v>
      </c>
      <c r="D1339" t="s">
        <v>723</v>
      </c>
      <c r="E1339" t="s">
        <v>18</v>
      </c>
      <c r="F1339" t="s">
        <v>24</v>
      </c>
      <c r="G1339" t="s">
        <v>25</v>
      </c>
      <c r="H1339" t="s">
        <v>21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Q1339">
        <v>74.900000000000006</v>
      </c>
    </row>
    <row r="1340" spans="1:17">
      <c r="A1340" t="s">
        <v>1371</v>
      </c>
      <c r="B1340">
        <f>COUNTIF($A$2:A1340,A1340)</f>
        <v>1</v>
      </c>
      <c r="C1340" s="2">
        <v>45767</v>
      </c>
      <c r="D1340" t="s">
        <v>723</v>
      </c>
      <c r="E1340" t="s">
        <v>23</v>
      </c>
      <c r="F1340" t="s">
        <v>19</v>
      </c>
      <c r="G1340" t="s">
        <v>25</v>
      </c>
      <c r="H1340" t="s">
        <v>26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Q1340">
        <v>67</v>
      </c>
    </row>
    <row r="1341" spans="1:17">
      <c r="A1341" t="s">
        <v>1372</v>
      </c>
      <c r="B1341">
        <f>COUNTIF($A$2:A1341,A1341)</f>
        <v>1</v>
      </c>
      <c r="C1341" s="2">
        <v>45726</v>
      </c>
      <c r="D1341" t="s">
        <v>723</v>
      </c>
      <c r="E1341" t="s">
        <v>32</v>
      </c>
      <c r="F1341" t="s">
        <v>24</v>
      </c>
      <c r="G1341" t="s">
        <v>20</v>
      </c>
      <c r="H1341" t="s">
        <v>26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Q1341">
        <v>63.6</v>
      </c>
    </row>
    <row r="1342" spans="1:17">
      <c r="A1342" t="s">
        <v>1373</v>
      </c>
      <c r="B1342">
        <f>COUNTIF($A$2:A1342,A1342)</f>
        <v>1</v>
      </c>
      <c r="C1342" s="2">
        <v>45709</v>
      </c>
      <c r="D1342" t="s">
        <v>723</v>
      </c>
      <c r="E1342" t="s">
        <v>32</v>
      </c>
      <c r="F1342" t="s">
        <v>24</v>
      </c>
      <c r="G1342" t="s">
        <v>20</v>
      </c>
      <c r="H1342" t="s">
        <v>26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0</v>
      </c>
      <c r="Q1342">
        <v>58.4</v>
      </c>
    </row>
    <row r="1343" spans="1:17">
      <c r="A1343" t="s">
        <v>1374</v>
      </c>
      <c r="B1343">
        <f>COUNTIF($A$2:A1343,A1343)</f>
        <v>1</v>
      </c>
      <c r="C1343" s="2">
        <v>45663</v>
      </c>
      <c r="D1343" t="s">
        <v>723</v>
      </c>
      <c r="E1343" t="s">
        <v>18</v>
      </c>
      <c r="F1343" t="s">
        <v>19</v>
      </c>
      <c r="G1343" t="s">
        <v>41</v>
      </c>
      <c r="H1343" t="s">
        <v>26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Q1343">
        <v>36.799999999999997</v>
      </c>
    </row>
    <row r="1344" spans="1:17">
      <c r="A1344" t="s">
        <v>1375</v>
      </c>
      <c r="B1344">
        <f>COUNTIF($A$2:A1344,A1344)</f>
        <v>1</v>
      </c>
      <c r="C1344" s="2">
        <v>45764</v>
      </c>
      <c r="D1344" t="s">
        <v>723</v>
      </c>
      <c r="E1344" t="s">
        <v>32</v>
      </c>
      <c r="F1344" t="s">
        <v>24</v>
      </c>
      <c r="G1344" t="s">
        <v>25</v>
      </c>
      <c r="H1344" t="s">
        <v>30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Q1344">
        <v>71.599999999999994</v>
      </c>
    </row>
    <row r="1345" spans="1:17">
      <c r="A1345" t="s">
        <v>1376</v>
      </c>
      <c r="B1345">
        <f>COUNTIF($A$2:A1345,A1345)</f>
        <v>1</v>
      </c>
      <c r="C1345" s="2">
        <v>45800</v>
      </c>
      <c r="D1345" t="s">
        <v>723</v>
      </c>
      <c r="E1345" t="s">
        <v>32</v>
      </c>
      <c r="F1345" t="s">
        <v>24</v>
      </c>
      <c r="G1345" t="s">
        <v>20</v>
      </c>
      <c r="H1345" t="s">
        <v>21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1</v>
      </c>
      <c r="O1345">
        <v>0</v>
      </c>
      <c r="Q1345">
        <v>79.7</v>
      </c>
    </row>
    <row r="1346" spans="1:17">
      <c r="A1346" t="s">
        <v>1377</v>
      </c>
      <c r="B1346">
        <f>COUNTIF($A$2:A1346,A1346)</f>
        <v>1</v>
      </c>
      <c r="C1346" s="2">
        <v>45730</v>
      </c>
      <c r="D1346" t="s">
        <v>723</v>
      </c>
      <c r="E1346" t="s">
        <v>23</v>
      </c>
      <c r="F1346" t="s">
        <v>19</v>
      </c>
      <c r="G1346" t="s">
        <v>25</v>
      </c>
      <c r="H1346" t="s">
        <v>21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Q1346">
        <v>56.5</v>
      </c>
    </row>
    <row r="1347" spans="1:17">
      <c r="A1347" t="s">
        <v>1378</v>
      </c>
      <c r="B1347">
        <f>COUNTIF($A$2:A1347,A1347)</f>
        <v>1</v>
      </c>
      <c r="C1347" s="2">
        <v>45768</v>
      </c>
      <c r="D1347" t="s">
        <v>723</v>
      </c>
      <c r="E1347" t="s">
        <v>18</v>
      </c>
      <c r="F1347" t="s">
        <v>24</v>
      </c>
      <c r="G1347" t="s">
        <v>41</v>
      </c>
      <c r="H1347" t="s">
        <v>30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Q1347">
        <v>44.7</v>
      </c>
    </row>
    <row r="1348" spans="1:17">
      <c r="A1348" t="s">
        <v>1379</v>
      </c>
      <c r="B1348">
        <f>COUNTIF($A$2:A1348,A1348)</f>
        <v>1</v>
      </c>
      <c r="C1348" s="2">
        <v>45660</v>
      </c>
      <c r="D1348" t="s">
        <v>723</v>
      </c>
      <c r="E1348" t="s">
        <v>32</v>
      </c>
      <c r="F1348" t="s">
        <v>24</v>
      </c>
      <c r="G1348" t="s">
        <v>41</v>
      </c>
      <c r="H1348" t="s">
        <v>26</v>
      </c>
      <c r="I1348">
        <v>1</v>
      </c>
      <c r="J1348">
        <v>1</v>
      </c>
      <c r="K1348">
        <v>1</v>
      </c>
      <c r="L1348">
        <v>0</v>
      </c>
      <c r="M1348">
        <v>0</v>
      </c>
      <c r="N1348">
        <v>1</v>
      </c>
      <c r="O1348">
        <v>0</v>
      </c>
      <c r="Q1348">
        <v>66</v>
      </c>
    </row>
    <row r="1349" spans="1:17">
      <c r="A1349" t="s">
        <v>1380</v>
      </c>
      <c r="B1349">
        <f>COUNTIF($A$2:A1349,A1349)</f>
        <v>1</v>
      </c>
      <c r="C1349" s="2">
        <v>45786</v>
      </c>
      <c r="D1349" t="s">
        <v>723</v>
      </c>
      <c r="E1349" t="s">
        <v>18</v>
      </c>
      <c r="F1349" t="s">
        <v>19</v>
      </c>
      <c r="G1349" t="s">
        <v>25</v>
      </c>
      <c r="H1349" t="s">
        <v>21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Q1349">
        <v>73</v>
      </c>
    </row>
    <row r="1350" spans="1:17">
      <c r="A1350" t="s">
        <v>1381</v>
      </c>
      <c r="B1350">
        <f>COUNTIF($A$2:A1350,A1350)</f>
        <v>1</v>
      </c>
      <c r="C1350" s="2">
        <v>45799</v>
      </c>
      <c r="D1350" t="s">
        <v>723</v>
      </c>
      <c r="E1350" t="s">
        <v>32</v>
      </c>
      <c r="F1350" t="s">
        <v>24</v>
      </c>
      <c r="G1350" t="s">
        <v>25</v>
      </c>
      <c r="H1350" t="s">
        <v>21</v>
      </c>
      <c r="I1350">
        <v>1</v>
      </c>
      <c r="J1350">
        <v>1</v>
      </c>
      <c r="K1350">
        <v>1</v>
      </c>
      <c r="L1350">
        <v>0</v>
      </c>
      <c r="M1350">
        <v>0</v>
      </c>
      <c r="N1350">
        <v>1</v>
      </c>
      <c r="O1350">
        <v>0</v>
      </c>
      <c r="Q1350">
        <v>72.5</v>
      </c>
    </row>
    <row r="1351" spans="1:17">
      <c r="A1351" t="s">
        <v>1382</v>
      </c>
      <c r="B1351">
        <f>COUNTIF($A$2:A1351,A1351)</f>
        <v>1</v>
      </c>
      <c r="C1351" s="2">
        <v>45784</v>
      </c>
      <c r="D1351" t="s">
        <v>723</v>
      </c>
      <c r="E1351" t="s">
        <v>32</v>
      </c>
      <c r="F1351" t="s">
        <v>19</v>
      </c>
      <c r="G1351" t="s">
        <v>29</v>
      </c>
      <c r="H1351" t="s">
        <v>26</v>
      </c>
      <c r="I1351">
        <v>1</v>
      </c>
      <c r="J1351">
        <v>1</v>
      </c>
      <c r="K1351">
        <v>1</v>
      </c>
      <c r="L1351">
        <v>1</v>
      </c>
      <c r="M1351">
        <v>323.60000000000002</v>
      </c>
      <c r="N1351">
        <v>0</v>
      </c>
      <c r="O1351">
        <v>0</v>
      </c>
      <c r="P1351">
        <v>6</v>
      </c>
      <c r="Q1351">
        <v>100</v>
      </c>
    </row>
    <row r="1352" spans="1:17">
      <c r="A1352" t="s">
        <v>1383</v>
      </c>
      <c r="B1352">
        <f>COUNTIF($A$2:A1352,A1352)</f>
        <v>1</v>
      </c>
      <c r="C1352" s="2">
        <v>45696</v>
      </c>
      <c r="D1352" t="s">
        <v>723</v>
      </c>
      <c r="E1352" t="s">
        <v>28</v>
      </c>
      <c r="F1352" t="s">
        <v>24</v>
      </c>
      <c r="G1352" t="s">
        <v>41</v>
      </c>
      <c r="H1352" t="s">
        <v>26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Q1352">
        <v>90.5</v>
      </c>
    </row>
    <row r="1353" spans="1:17">
      <c r="A1353" t="s">
        <v>1384</v>
      </c>
      <c r="B1353">
        <f>COUNTIF($A$2:A1353,A1353)</f>
        <v>1</v>
      </c>
      <c r="C1353" s="2">
        <v>45750</v>
      </c>
      <c r="D1353" t="s">
        <v>723</v>
      </c>
      <c r="E1353" t="s">
        <v>18</v>
      </c>
      <c r="F1353" t="s">
        <v>34</v>
      </c>
      <c r="G1353" t="s">
        <v>41</v>
      </c>
      <c r="H1353" t="s">
        <v>21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Q1353">
        <v>70.2</v>
      </c>
    </row>
    <row r="1354" spans="1:17">
      <c r="A1354" t="s">
        <v>1385</v>
      </c>
      <c r="B1354">
        <f>COUNTIF($A$2:A1354,A1354)</f>
        <v>1</v>
      </c>
      <c r="C1354" s="2">
        <v>45764</v>
      </c>
      <c r="D1354" t="s">
        <v>723</v>
      </c>
      <c r="E1354" t="s">
        <v>28</v>
      </c>
      <c r="F1354" t="s">
        <v>19</v>
      </c>
      <c r="G1354" t="s">
        <v>29</v>
      </c>
      <c r="H1354" t="s">
        <v>26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Q1354">
        <v>67.099999999999994</v>
      </c>
    </row>
    <row r="1355" spans="1:17">
      <c r="A1355" t="s">
        <v>1386</v>
      </c>
      <c r="B1355">
        <f>COUNTIF($A$2:A1355,A1355)</f>
        <v>1</v>
      </c>
      <c r="C1355" s="2">
        <v>45781</v>
      </c>
      <c r="D1355" t="s">
        <v>723</v>
      </c>
      <c r="E1355" t="s">
        <v>28</v>
      </c>
      <c r="F1355" t="s">
        <v>24</v>
      </c>
      <c r="G1355" t="s">
        <v>25</v>
      </c>
      <c r="H1355" t="s">
        <v>26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Q1355">
        <v>54.5</v>
      </c>
    </row>
    <row r="1356" spans="1:17">
      <c r="A1356" t="s">
        <v>1387</v>
      </c>
      <c r="B1356">
        <f>COUNTIF($A$2:A1356,A1356)</f>
        <v>1</v>
      </c>
      <c r="C1356" s="2">
        <v>45788</v>
      </c>
      <c r="D1356" t="s">
        <v>723</v>
      </c>
      <c r="E1356" t="s">
        <v>23</v>
      </c>
      <c r="F1356" t="s">
        <v>19</v>
      </c>
      <c r="G1356" t="s">
        <v>25</v>
      </c>
      <c r="H1356" t="s">
        <v>26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Q1356">
        <v>63.4</v>
      </c>
    </row>
    <row r="1357" spans="1:17">
      <c r="A1357" t="s">
        <v>1388</v>
      </c>
      <c r="B1357">
        <f>COUNTIF($A$2:A1357,A1357)</f>
        <v>1</v>
      </c>
      <c r="C1357" s="2">
        <v>45717</v>
      </c>
      <c r="D1357" t="s">
        <v>723</v>
      </c>
      <c r="E1357" t="s">
        <v>18</v>
      </c>
      <c r="F1357" t="s">
        <v>19</v>
      </c>
      <c r="H1357" t="s">
        <v>26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0</v>
      </c>
      <c r="Q1357">
        <v>84.3</v>
      </c>
    </row>
    <row r="1358" spans="1:17">
      <c r="A1358" t="s">
        <v>1389</v>
      </c>
      <c r="B1358">
        <f>COUNTIF($A$2:A1358,A1358)</f>
        <v>1</v>
      </c>
      <c r="C1358" s="2">
        <v>45708</v>
      </c>
      <c r="D1358" t="s">
        <v>723</v>
      </c>
      <c r="E1358" t="s">
        <v>23</v>
      </c>
      <c r="F1358" t="s">
        <v>19</v>
      </c>
      <c r="G1358" t="s">
        <v>25</v>
      </c>
      <c r="H1358" t="s">
        <v>26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Q1358">
        <v>55</v>
      </c>
    </row>
    <row r="1359" spans="1:17">
      <c r="A1359" t="s">
        <v>1390</v>
      </c>
      <c r="B1359">
        <f>COUNTIF($A$2:A1359,A1359)</f>
        <v>1</v>
      </c>
      <c r="C1359" s="2">
        <v>45786</v>
      </c>
      <c r="D1359" t="s">
        <v>723</v>
      </c>
      <c r="E1359" t="s">
        <v>23</v>
      </c>
      <c r="F1359" t="s">
        <v>24</v>
      </c>
      <c r="G1359" t="s">
        <v>41</v>
      </c>
      <c r="H1359" t="s">
        <v>26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Q1359">
        <v>63.6</v>
      </c>
    </row>
    <row r="1360" spans="1:17">
      <c r="A1360" t="s">
        <v>1391</v>
      </c>
      <c r="B1360">
        <f>COUNTIF($A$2:A1360,A1360)</f>
        <v>1</v>
      </c>
      <c r="C1360" s="2">
        <v>45777</v>
      </c>
      <c r="D1360" t="s">
        <v>723</v>
      </c>
      <c r="E1360" t="s">
        <v>23</v>
      </c>
      <c r="F1360" t="s">
        <v>24</v>
      </c>
      <c r="G1360" t="s">
        <v>25</v>
      </c>
      <c r="H1360" t="s">
        <v>26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Q1360">
        <v>55.5</v>
      </c>
    </row>
    <row r="1361" spans="1:17">
      <c r="A1361" t="s">
        <v>1392</v>
      </c>
      <c r="B1361">
        <f>COUNTIF($A$2:A1361,A1361)</f>
        <v>1</v>
      </c>
      <c r="C1361" s="2">
        <v>45664</v>
      </c>
      <c r="D1361" t="s">
        <v>723</v>
      </c>
      <c r="E1361" t="s">
        <v>32</v>
      </c>
      <c r="F1361" t="s">
        <v>24</v>
      </c>
      <c r="G1361" t="s">
        <v>41</v>
      </c>
      <c r="H1361" t="s">
        <v>21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Q1361">
        <v>50.5</v>
      </c>
    </row>
    <row r="1362" spans="1:17">
      <c r="A1362" t="s">
        <v>1393</v>
      </c>
      <c r="B1362">
        <f>COUNTIF($A$2:A1362,A1362)</f>
        <v>1</v>
      </c>
      <c r="C1362" s="2">
        <v>45777</v>
      </c>
      <c r="D1362" t="s">
        <v>723</v>
      </c>
      <c r="E1362" t="s">
        <v>18</v>
      </c>
      <c r="F1362" t="s">
        <v>24</v>
      </c>
      <c r="G1362" t="s">
        <v>41</v>
      </c>
      <c r="H1362" t="s">
        <v>21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Q1362">
        <v>45.3</v>
      </c>
    </row>
    <row r="1363" spans="1:17">
      <c r="A1363" t="s">
        <v>1394</v>
      </c>
      <c r="B1363">
        <f>COUNTIF($A$2:A1363,A1363)</f>
        <v>1</v>
      </c>
      <c r="C1363" s="2">
        <v>45800</v>
      </c>
      <c r="D1363" t="s">
        <v>723</v>
      </c>
      <c r="E1363" t="s">
        <v>28</v>
      </c>
      <c r="F1363" t="s">
        <v>24</v>
      </c>
      <c r="G1363" t="s">
        <v>25</v>
      </c>
      <c r="H1363" t="s">
        <v>21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Q1363">
        <v>33.6</v>
      </c>
    </row>
    <row r="1364" spans="1:17">
      <c r="A1364" t="s">
        <v>1395</v>
      </c>
      <c r="B1364">
        <f>COUNTIF($A$2:A1364,A1364)</f>
        <v>1</v>
      </c>
      <c r="C1364" s="2">
        <v>45728</v>
      </c>
      <c r="D1364" t="s">
        <v>723</v>
      </c>
      <c r="E1364" t="s">
        <v>32</v>
      </c>
      <c r="F1364" t="s">
        <v>24</v>
      </c>
      <c r="G1364" t="s">
        <v>29</v>
      </c>
      <c r="H1364" t="s">
        <v>30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Q1364">
        <v>88.2</v>
      </c>
    </row>
    <row r="1365" spans="1:17">
      <c r="A1365" t="s">
        <v>1396</v>
      </c>
      <c r="B1365">
        <f>COUNTIF($A$2:A1365,A1365)</f>
        <v>1</v>
      </c>
      <c r="C1365" s="2">
        <v>45705</v>
      </c>
      <c r="D1365" t="s">
        <v>723</v>
      </c>
      <c r="E1365" t="s">
        <v>18</v>
      </c>
      <c r="F1365" t="s">
        <v>24</v>
      </c>
      <c r="G1365" t="s">
        <v>25</v>
      </c>
      <c r="H1365" t="s">
        <v>30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Q1365">
        <v>51.8</v>
      </c>
    </row>
    <row r="1366" spans="1:17">
      <c r="A1366" t="s">
        <v>1397</v>
      </c>
      <c r="B1366">
        <f>COUNTIF($A$2:A1366,A1366)</f>
        <v>1</v>
      </c>
      <c r="C1366" s="2">
        <v>45804</v>
      </c>
      <c r="D1366" t="s">
        <v>723</v>
      </c>
      <c r="E1366" t="s">
        <v>18</v>
      </c>
      <c r="F1366" t="s">
        <v>19</v>
      </c>
      <c r="G1366" t="s">
        <v>25</v>
      </c>
      <c r="H1366" t="s">
        <v>21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Q1366">
        <v>87.9</v>
      </c>
    </row>
    <row r="1367" spans="1:17">
      <c r="A1367" t="s">
        <v>1398</v>
      </c>
      <c r="B1367">
        <f>COUNTIF($A$2:A1367,A1367)</f>
        <v>1</v>
      </c>
      <c r="C1367" s="2">
        <v>45787</v>
      </c>
      <c r="D1367" t="s">
        <v>723</v>
      </c>
      <c r="E1367" t="s">
        <v>32</v>
      </c>
      <c r="F1367" t="s">
        <v>24</v>
      </c>
      <c r="G1367" t="s">
        <v>41</v>
      </c>
      <c r="H1367" t="s">
        <v>30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2</v>
      </c>
      <c r="O1367">
        <v>0</v>
      </c>
      <c r="Q1367">
        <v>70.5</v>
      </c>
    </row>
    <row r="1368" spans="1:17">
      <c r="A1368" t="s">
        <v>1399</v>
      </c>
      <c r="B1368">
        <f>COUNTIF($A$2:A1368,A1368)</f>
        <v>1</v>
      </c>
      <c r="C1368" s="2">
        <v>45677</v>
      </c>
      <c r="D1368" t="s">
        <v>723</v>
      </c>
      <c r="E1368" t="s">
        <v>18</v>
      </c>
      <c r="F1368" t="s">
        <v>24</v>
      </c>
      <c r="G1368" t="s">
        <v>25</v>
      </c>
      <c r="H1368" t="s">
        <v>21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2</v>
      </c>
      <c r="O1368">
        <v>0</v>
      </c>
      <c r="Q1368">
        <v>58.5</v>
      </c>
    </row>
    <row r="1369" spans="1:17">
      <c r="A1369" t="s">
        <v>1400</v>
      </c>
      <c r="B1369">
        <f>COUNTIF($A$2:A1369,A1369)</f>
        <v>1</v>
      </c>
      <c r="C1369" s="2">
        <v>45676</v>
      </c>
      <c r="D1369" t="s">
        <v>723</v>
      </c>
      <c r="E1369" t="s">
        <v>28</v>
      </c>
      <c r="F1369" t="s">
        <v>24</v>
      </c>
      <c r="G1369" t="s">
        <v>39</v>
      </c>
      <c r="H1369" t="s">
        <v>26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Q1369">
        <v>65.599999999999994</v>
      </c>
    </row>
    <row r="1370" spans="1:17">
      <c r="A1370" t="s">
        <v>1401</v>
      </c>
      <c r="B1370">
        <f>COUNTIF($A$2:A1370,A1370)</f>
        <v>1</v>
      </c>
      <c r="C1370" s="2">
        <v>45723</v>
      </c>
      <c r="D1370" t="s">
        <v>723</v>
      </c>
      <c r="E1370" t="s">
        <v>23</v>
      </c>
      <c r="F1370" t="s">
        <v>19</v>
      </c>
      <c r="G1370" t="s">
        <v>29</v>
      </c>
      <c r="H1370" t="s">
        <v>21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Q1370">
        <v>62.7</v>
      </c>
    </row>
    <row r="1371" spans="1:17">
      <c r="A1371" t="s">
        <v>1402</v>
      </c>
      <c r="B1371">
        <f>COUNTIF($A$2:A1371,A1371)</f>
        <v>1</v>
      </c>
      <c r="C1371" s="2">
        <v>45690</v>
      </c>
      <c r="D1371" t="s">
        <v>723</v>
      </c>
      <c r="E1371" t="s">
        <v>28</v>
      </c>
      <c r="F1371" t="s">
        <v>24</v>
      </c>
      <c r="G1371" t="s">
        <v>25</v>
      </c>
      <c r="H1371" t="s">
        <v>26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Q1371">
        <v>50.9</v>
      </c>
    </row>
    <row r="1372" spans="1:17">
      <c r="A1372" t="s">
        <v>1403</v>
      </c>
      <c r="B1372">
        <f>COUNTIF($A$2:A1372,A1372)</f>
        <v>1</v>
      </c>
      <c r="C1372" s="2">
        <v>45723</v>
      </c>
      <c r="D1372" t="s">
        <v>723</v>
      </c>
      <c r="E1372" t="s">
        <v>18</v>
      </c>
      <c r="F1372" t="s">
        <v>24</v>
      </c>
      <c r="G1372" t="s">
        <v>25</v>
      </c>
      <c r="H1372" t="s">
        <v>26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Q1372">
        <v>60.6</v>
      </c>
    </row>
    <row r="1373" spans="1:17">
      <c r="A1373" t="s">
        <v>1404</v>
      </c>
      <c r="B1373">
        <f>COUNTIF($A$2:A1373,A1373)</f>
        <v>1</v>
      </c>
      <c r="C1373" s="2">
        <v>45746</v>
      </c>
      <c r="D1373" t="s">
        <v>723</v>
      </c>
      <c r="E1373" t="s">
        <v>28</v>
      </c>
      <c r="F1373" t="s">
        <v>19</v>
      </c>
      <c r="G1373" t="s">
        <v>25</v>
      </c>
      <c r="H1373" t="s">
        <v>26</v>
      </c>
      <c r="I1373">
        <v>1</v>
      </c>
      <c r="J1373">
        <v>1</v>
      </c>
      <c r="K1373">
        <v>1</v>
      </c>
      <c r="L1373">
        <v>0</v>
      </c>
      <c r="M1373">
        <v>0</v>
      </c>
      <c r="N1373">
        <v>0</v>
      </c>
      <c r="O1373">
        <v>0</v>
      </c>
      <c r="Q1373">
        <v>76.599999999999994</v>
      </c>
    </row>
    <row r="1374" spans="1:17">
      <c r="A1374" t="s">
        <v>1405</v>
      </c>
      <c r="B1374">
        <f>COUNTIF($A$2:A1374,A1374)</f>
        <v>1</v>
      </c>
      <c r="C1374" s="2">
        <v>45782</v>
      </c>
      <c r="D1374" t="s">
        <v>723</v>
      </c>
      <c r="E1374" t="s">
        <v>28</v>
      </c>
      <c r="F1374" t="s">
        <v>19</v>
      </c>
      <c r="G1374" t="s">
        <v>29</v>
      </c>
      <c r="H1374" t="s">
        <v>26</v>
      </c>
      <c r="I1374">
        <v>1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0</v>
      </c>
      <c r="Q1374">
        <v>54.4</v>
      </c>
    </row>
    <row r="1375" spans="1:17">
      <c r="A1375" t="s">
        <v>1406</v>
      </c>
      <c r="B1375">
        <f>COUNTIF($A$2:A1375,A1375)</f>
        <v>1</v>
      </c>
      <c r="C1375" s="2">
        <v>45758</v>
      </c>
      <c r="D1375" t="s">
        <v>723</v>
      </c>
      <c r="E1375" t="s">
        <v>32</v>
      </c>
      <c r="F1375" t="s">
        <v>24</v>
      </c>
      <c r="G1375" t="s">
        <v>41</v>
      </c>
      <c r="H1375" t="s">
        <v>26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Q1375">
        <v>31.2</v>
      </c>
    </row>
    <row r="1376" spans="1:17">
      <c r="A1376" t="s">
        <v>1407</v>
      </c>
      <c r="B1376">
        <f>COUNTIF($A$2:A1376,A1376)</f>
        <v>1</v>
      </c>
      <c r="C1376" s="2">
        <v>45741</v>
      </c>
      <c r="D1376" t="s">
        <v>723</v>
      </c>
      <c r="E1376" t="s">
        <v>23</v>
      </c>
      <c r="F1376" t="s">
        <v>19</v>
      </c>
      <c r="G1376" t="s">
        <v>20</v>
      </c>
      <c r="H1376" t="s">
        <v>30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Q1376">
        <v>72.400000000000006</v>
      </c>
    </row>
    <row r="1377" spans="1:17">
      <c r="A1377" t="s">
        <v>1408</v>
      </c>
      <c r="B1377">
        <f>COUNTIF($A$2:A1377,A1377)</f>
        <v>1</v>
      </c>
      <c r="C1377" s="2">
        <v>45740</v>
      </c>
      <c r="D1377" t="s">
        <v>723</v>
      </c>
      <c r="E1377" t="s">
        <v>18</v>
      </c>
      <c r="F1377" t="s">
        <v>24</v>
      </c>
      <c r="G1377" t="s">
        <v>25</v>
      </c>
      <c r="H1377" t="s">
        <v>30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Q1377">
        <v>74.5</v>
      </c>
    </row>
    <row r="1378" spans="1:17">
      <c r="A1378" t="s">
        <v>1409</v>
      </c>
      <c r="B1378">
        <f>COUNTIF($A$2:A1378,A1378)</f>
        <v>1</v>
      </c>
      <c r="C1378" s="2">
        <v>45774</v>
      </c>
      <c r="D1378" t="s">
        <v>723</v>
      </c>
      <c r="E1378" t="s">
        <v>28</v>
      </c>
      <c r="F1378" t="s">
        <v>24</v>
      </c>
      <c r="G1378" t="s">
        <v>25</v>
      </c>
      <c r="H1378" t="s">
        <v>21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Q1378">
        <v>52.6</v>
      </c>
    </row>
    <row r="1379" spans="1:17">
      <c r="A1379" t="s">
        <v>1410</v>
      </c>
      <c r="B1379">
        <f>COUNTIF($A$2:A1379,A1379)</f>
        <v>1</v>
      </c>
      <c r="C1379" s="2">
        <v>45682</v>
      </c>
      <c r="D1379" t="s">
        <v>723</v>
      </c>
      <c r="E1379" t="s">
        <v>18</v>
      </c>
      <c r="F1379" t="s">
        <v>19</v>
      </c>
      <c r="G1379" t="s">
        <v>29</v>
      </c>
      <c r="H1379" t="s">
        <v>26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Q1379">
        <v>75.400000000000006</v>
      </c>
    </row>
    <row r="1380" spans="1:17">
      <c r="A1380" t="s">
        <v>1411</v>
      </c>
      <c r="B1380">
        <f>COUNTIF($A$2:A1380,A1380)</f>
        <v>1</v>
      </c>
      <c r="C1380" s="2">
        <v>45705</v>
      </c>
      <c r="D1380" t="s">
        <v>723</v>
      </c>
      <c r="E1380" t="s">
        <v>18</v>
      </c>
      <c r="F1380" t="s">
        <v>34</v>
      </c>
      <c r="G1380" t="s">
        <v>41</v>
      </c>
      <c r="H1380" t="s">
        <v>21</v>
      </c>
      <c r="I1380">
        <v>1</v>
      </c>
      <c r="J1380">
        <v>1</v>
      </c>
      <c r="K1380">
        <v>1</v>
      </c>
      <c r="L1380">
        <v>1</v>
      </c>
      <c r="M1380">
        <v>751.33</v>
      </c>
      <c r="N1380">
        <v>0</v>
      </c>
      <c r="O1380">
        <v>0</v>
      </c>
      <c r="P1380">
        <v>9</v>
      </c>
      <c r="Q1380">
        <v>34</v>
      </c>
    </row>
    <row r="1381" spans="1:17">
      <c r="A1381" t="s">
        <v>1412</v>
      </c>
      <c r="B1381">
        <f>COUNTIF($A$2:A1381,A1381)</f>
        <v>1</v>
      </c>
      <c r="C1381" s="2">
        <v>45760</v>
      </c>
      <c r="D1381" t="s">
        <v>723</v>
      </c>
      <c r="E1381" t="s">
        <v>32</v>
      </c>
      <c r="F1381" t="s">
        <v>19</v>
      </c>
      <c r="G1381" t="s">
        <v>25</v>
      </c>
      <c r="H1381" t="s">
        <v>26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Q1381">
        <v>67.099999999999994</v>
      </c>
    </row>
    <row r="1382" spans="1:17">
      <c r="A1382" t="s">
        <v>1413</v>
      </c>
      <c r="B1382">
        <f>COUNTIF($A$2:A1382,A1382)</f>
        <v>1</v>
      </c>
      <c r="C1382" s="2">
        <v>45780</v>
      </c>
      <c r="D1382" t="s">
        <v>723</v>
      </c>
      <c r="E1382" t="s">
        <v>23</v>
      </c>
      <c r="F1382" t="s">
        <v>19</v>
      </c>
      <c r="G1382" t="s">
        <v>29</v>
      </c>
      <c r="H1382" t="s">
        <v>30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Q1382">
        <v>37.299999999999997</v>
      </c>
    </row>
    <row r="1383" spans="1:17">
      <c r="A1383" t="s">
        <v>1414</v>
      </c>
      <c r="B1383">
        <f>COUNTIF($A$2:A1383,A1383)</f>
        <v>1</v>
      </c>
      <c r="C1383" s="2">
        <v>45776</v>
      </c>
      <c r="D1383" t="s">
        <v>723</v>
      </c>
      <c r="E1383" t="s">
        <v>23</v>
      </c>
      <c r="F1383" t="s">
        <v>24</v>
      </c>
      <c r="G1383" t="s">
        <v>20</v>
      </c>
      <c r="H1383" t="s">
        <v>26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Q1383">
        <v>54.7</v>
      </c>
    </row>
    <row r="1384" spans="1:17">
      <c r="A1384" t="s">
        <v>1415</v>
      </c>
      <c r="B1384">
        <f>COUNTIF($A$2:A1384,A1384)</f>
        <v>1</v>
      </c>
      <c r="C1384" s="2">
        <v>45780</v>
      </c>
      <c r="D1384" t="s">
        <v>723</v>
      </c>
      <c r="E1384" t="s">
        <v>28</v>
      </c>
      <c r="F1384" t="s">
        <v>19</v>
      </c>
      <c r="G1384" t="s">
        <v>29</v>
      </c>
      <c r="H1384" t="s">
        <v>26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Q1384">
        <v>51.8</v>
      </c>
    </row>
    <row r="1385" spans="1:17">
      <c r="A1385" t="s">
        <v>1416</v>
      </c>
      <c r="B1385">
        <f>COUNTIF($A$2:A1385,A1385)</f>
        <v>1</v>
      </c>
      <c r="C1385" s="2">
        <v>45775</v>
      </c>
      <c r="D1385" t="s">
        <v>723</v>
      </c>
      <c r="E1385" t="s">
        <v>23</v>
      </c>
      <c r="F1385" t="s">
        <v>24</v>
      </c>
      <c r="G1385" t="s">
        <v>29</v>
      </c>
      <c r="H1385" t="s">
        <v>26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Q1385">
        <v>49.2</v>
      </c>
    </row>
    <row r="1386" spans="1:17">
      <c r="A1386" t="s">
        <v>1417</v>
      </c>
      <c r="B1386">
        <f>COUNTIF($A$2:A1386,A1386)</f>
        <v>1</v>
      </c>
      <c r="C1386" s="2">
        <v>45678</v>
      </c>
      <c r="D1386" t="s">
        <v>723</v>
      </c>
      <c r="E1386" t="s">
        <v>23</v>
      </c>
      <c r="F1386" t="s">
        <v>24</v>
      </c>
      <c r="G1386" t="s">
        <v>25</v>
      </c>
      <c r="H1386" t="s">
        <v>26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2</v>
      </c>
      <c r="O1386">
        <v>0</v>
      </c>
      <c r="Q1386">
        <v>58.8</v>
      </c>
    </row>
    <row r="1387" spans="1:17">
      <c r="A1387" t="s">
        <v>1418</v>
      </c>
      <c r="B1387">
        <f>COUNTIF($A$2:A1387,A1387)</f>
        <v>1</v>
      </c>
      <c r="C1387" s="2">
        <v>45678</v>
      </c>
      <c r="D1387" t="s">
        <v>723</v>
      </c>
      <c r="E1387" t="s">
        <v>18</v>
      </c>
      <c r="F1387" t="s">
        <v>34</v>
      </c>
      <c r="G1387" t="s">
        <v>29</v>
      </c>
      <c r="H1387" t="s">
        <v>21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Q1387">
        <v>59.1</v>
      </c>
    </row>
    <row r="1388" spans="1:17">
      <c r="A1388" t="s">
        <v>1419</v>
      </c>
      <c r="B1388">
        <f>COUNTIF($A$2:A1388,A1388)</f>
        <v>1</v>
      </c>
      <c r="C1388" s="2">
        <v>45798</v>
      </c>
      <c r="D1388" t="s">
        <v>723</v>
      </c>
      <c r="E1388" t="s">
        <v>23</v>
      </c>
      <c r="F1388" t="s">
        <v>19</v>
      </c>
      <c r="G1388" t="s">
        <v>29</v>
      </c>
      <c r="H1388" t="s">
        <v>26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0</v>
      </c>
      <c r="Q1388">
        <v>49.6</v>
      </c>
    </row>
    <row r="1389" spans="1:17">
      <c r="A1389" t="s">
        <v>1420</v>
      </c>
      <c r="B1389">
        <f>COUNTIF($A$2:A1389,A1389)</f>
        <v>1</v>
      </c>
      <c r="C1389" s="2">
        <v>45662</v>
      </c>
      <c r="D1389" t="s">
        <v>723</v>
      </c>
      <c r="E1389" t="s">
        <v>18</v>
      </c>
      <c r="F1389" t="s">
        <v>24</v>
      </c>
      <c r="G1389" t="s">
        <v>39</v>
      </c>
      <c r="H1389" t="s">
        <v>26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Q1389">
        <v>58.2</v>
      </c>
    </row>
    <row r="1390" spans="1:17">
      <c r="A1390" t="s">
        <v>1421</v>
      </c>
      <c r="B1390">
        <f>COUNTIF($A$2:A1390,A1390)</f>
        <v>1</v>
      </c>
      <c r="C1390" s="2">
        <v>45722</v>
      </c>
      <c r="D1390" t="s">
        <v>723</v>
      </c>
      <c r="E1390" t="s">
        <v>32</v>
      </c>
      <c r="F1390" t="s">
        <v>19</v>
      </c>
      <c r="G1390" t="s">
        <v>25</v>
      </c>
      <c r="H1390" t="s">
        <v>26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Q1390">
        <v>66.8</v>
      </c>
    </row>
    <row r="1391" spans="1:17">
      <c r="A1391" t="s">
        <v>1422</v>
      </c>
      <c r="B1391">
        <f>COUNTIF($A$2:A1391,A1391)</f>
        <v>1</v>
      </c>
      <c r="C1391" s="2">
        <v>45765</v>
      </c>
      <c r="D1391" t="s">
        <v>723</v>
      </c>
      <c r="E1391" t="s">
        <v>18</v>
      </c>
      <c r="F1391" t="s">
        <v>24</v>
      </c>
      <c r="G1391" t="s">
        <v>29</v>
      </c>
      <c r="H1391" t="s">
        <v>26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3</v>
      </c>
      <c r="O1391">
        <v>0</v>
      </c>
      <c r="Q1391">
        <v>58.3</v>
      </c>
    </row>
    <row r="1392" spans="1:17">
      <c r="A1392" t="s">
        <v>1423</v>
      </c>
      <c r="B1392">
        <f>COUNTIF($A$2:A1392,A1392)</f>
        <v>1</v>
      </c>
      <c r="C1392" s="2">
        <v>45762</v>
      </c>
      <c r="D1392" t="s">
        <v>723</v>
      </c>
      <c r="E1392" t="s">
        <v>23</v>
      </c>
      <c r="F1392" t="s">
        <v>24</v>
      </c>
      <c r="G1392" t="s">
        <v>25</v>
      </c>
      <c r="H1392" t="s">
        <v>21</v>
      </c>
      <c r="I1392">
        <v>1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0</v>
      </c>
      <c r="Q1392">
        <v>38.5</v>
      </c>
    </row>
    <row r="1393" spans="1:17">
      <c r="A1393" t="s">
        <v>1424</v>
      </c>
      <c r="B1393">
        <f>COUNTIF($A$2:A1393,A1393)</f>
        <v>1</v>
      </c>
      <c r="C1393" s="2">
        <v>45698</v>
      </c>
      <c r="D1393" t="s">
        <v>723</v>
      </c>
      <c r="E1393" t="s">
        <v>28</v>
      </c>
      <c r="F1393" t="s">
        <v>24</v>
      </c>
      <c r="G1393" t="s">
        <v>29</v>
      </c>
      <c r="H1393" t="s">
        <v>26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Q1393">
        <v>76.900000000000006</v>
      </c>
    </row>
    <row r="1394" spans="1:17">
      <c r="A1394" t="s">
        <v>1425</v>
      </c>
      <c r="B1394">
        <f>COUNTIF($A$2:A1394,A1394)</f>
        <v>1</v>
      </c>
      <c r="C1394" s="2">
        <v>45785</v>
      </c>
      <c r="D1394" t="s">
        <v>723</v>
      </c>
      <c r="E1394" t="s">
        <v>28</v>
      </c>
      <c r="F1394" t="s">
        <v>24</v>
      </c>
      <c r="G1394" t="s">
        <v>25</v>
      </c>
      <c r="H1394" t="s">
        <v>26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Q1394">
        <v>54</v>
      </c>
    </row>
    <row r="1395" spans="1:17">
      <c r="A1395" t="s">
        <v>1426</v>
      </c>
      <c r="B1395">
        <f>COUNTIF($A$2:A1395,A1395)</f>
        <v>1</v>
      </c>
      <c r="C1395" s="2">
        <v>45805</v>
      </c>
      <c r="D1395" t="s">
        <v>723</v>
      </c>
      <c r="E1395" t="s">
        <v>28</v>
      </c>
      <c r="F1395" t="s">
        <v>34</v>
      </c>
      <c r="G1395" t="s">
        <v>25</v>
      </c>
      <c r="H1395" t="s">
        <v>26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Q1395">
        <v>70.599999999999994</v>
      </c>
    </row>
    <row r="1396" spans="1:17">
      <c r="A1396" t="s">
        <v>1427</v>
      </c>
      <c r="B1396">
        <f>COUNTIF($A$2:A1396,A1396)</f>
        <v>1</v>
      </c>
      <c r="C1396" s="2">
        <v>45772</v>
      </c>
      <c r="D1396" t="s">
        <v>723</v>
      </c>
      <c r="E1396" t="s">
        <v>18</v>
      </c>
      <c r="F1396" t="s">
        <v>34</v>
      </c>
      <c r="G1396" t="s">
        <v>39</v>
      </c>
      <c r="H1396" t="s">
        <v>30</v>
      </c>
      <c r="I1396">
        <v>1</v>
      </c>
      <c r="J1396">
        <v>1</v>
      </c>
      <c r="K1396">
        <v>1</v>
      </c>
      <c r="L1396">
        <v>0</v>
      </c>
      <c r="M1396">
        <v>0</v>
      </c>
      <c r="N1396">
        <v>1</v>
      </c>
      <c r="O1396">
        <v>0</v>
      </c>
      <c r="Q1396">
        <v>69.400000000000006</v>
      </c>
    </row>
    <row r="1397" spans="1:17">
      <c r="A1397" t="s">
        <v>1428</v>
      </c>
      <c r="B1397">
        <f>COUNTIF($A$2:A1397,A1397)</f>
        <v>1</v>
      </c>
      <c r="C1397" s="2">
        <v>45699</v>
      </c>
      <c r="D1397" t="s">
        <v>723</v>
      </c>
      <c r="E1397" t="s">
        <v>32</v>
      </c>
      <c r="F1397" t="s">
        <v>24</v>
      </c>
      <c r="H1397" t="s">
        <v>30</v>
      </c>
      <c r="I1397">
        <v>1</v>
      </c>
      <c r="J1397">
        <v>1</v>
      </c>
      <c r="K1397">
        <v>1</v>
      </c>
      <c r="L1397">
        <v>1</v>
      </c>
      <c r="M1397">
        <v>1009.9</v>
      </c>
      <c r="N1397">
        <v>0</v>
      </c>
      <c r="O1397">
        <v>0</v>
      </c>
      <c r="P1397">
        <v>6</v>
      </c>
      <c r="Q1397">
        <v>89.7</v>
      </c>
    </row>
    <row r="1398" spans="1:17">
      <c r="A1398" t="s">
        <v>1429</v>
      </c>
      <c r="B1398">
        <f>COUNTIF($A$2:A1398,A1398)</f>
        <v>1</v>
      </c>
      <c r="C1398" s="2">
        <v>45761</v>
      </c>
      <c r="D1398" t="s">
        <v>723</v>
      </c>
      <c r="E1398" t="s">
        <v>23</v>
      </c>
      <c r="F1398" t="s">
        <v>24</v>
      </c>
      <c r="G1398" t="s">
        <v>25</v>
      </c>
      <c r="H1398" t="s">
        <v>26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Q1398">
        <v>62.4</v>
      </c>
    </row>
    <row r="1399" spans="1:17">
      <c r="A1399" t="s">
        <v>1430</v>
      </c>
      <c r="B1399">
        <f>COUNTIF($A$2:A1399,A1399)</f>
        <v>1</v>
      </c>
      <c r="C1399" s="2">
        <v>45692</v>
      </c>
      <c r="D1399" t="s">
        <v>723</v>
      </c>
      <c r="E1399" t="s">
        <v>23</v>
      </c>
      <c r="F1399" t="s">
        <v>34</v>
      </c>
      <c r="G1399" t="s">
        <v>25</v>
      </c>
      <c r="H1399" t="s">
        <v>30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Q1399">
        <v>67.3</v>
      </c>
    </row>
    <row r="1400" spans="1:17">
      <c r="A1400" t="s">
        <v>1431</v>
      </c>
      <c r="B1400">
        <f>COUNTIF($A$2:A1400,A1400)</f>
        <v>1</v>
      </c>
      <c r="C1400" s="2">
        <v>45738</v>
      </c>
      <c r="D1400" t="s">
        <v>723</v>
      </c>
      <c r="E1400" t="s">
        <v>28</v>
      </c>
      <c r="F1400" t="s">
        <v>24</v>
      </c>
      <c r="G1400" t="s">
        <v>39</v>
      </c>
      <c r="H1400" t="s">
        <v>26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Q1400">
        <v>54.9</v>
      </c>
    </row>
    <row r="1401" spans="1:17">
      <c r="A1401" t="s">
        <v>1432</v>
      </c>
      <c r="B1401">
        <f>COUNTIF($A$2:A1401,A1401)</f>
        <v>1</v>
      </c>
      <c r="C1401" s="2">
        <v>45765</v>
      </c>
      <c r="D1401" t="s">
        <v>723</v>
      </c>
      <c r="E1401" t="s">
        <v>28</v>
      </c>
      <c r="F1401" t="s">
        <v>19</v>
      </c>
      <c r="G1401" t="s">
        <v>41</v>
      </c>
      <c r="H1401" t="s">
        <v>26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Q1401">
        <v>55.7</v>
      </c>
    </row>
    <row r="1402" spans="1:17">
      <c r="A1402" t="s">
        <v>949</v>
      </c>
      <c r="B1402">
        <f>COUNTIF($A$2:A1402,A1402)</f>
        <v>2</v>
      </c>
      <c r="C1402" s="2">
        <v>45711</v>
      </c>
      <c r="D1402" t="s">
        <v>723</v>
      </c>
      <c r="E1402" t="s">
        <v>23</v>
      </c>
      <c r="F1402" t="s">
        <v>19</v>
      </c>
      <c r="G1402" t="s">
        <v>41</v>
      </c>
      <c r="H1402" t="s">
        <v>21</v>
      </c>
      <c r="I1402">
        <v>1</v>
      </c>
      <c r="J1402">
        <v>1</v>
      </c>
      <c r="K1402">
        <v>1</v>
      </c>
      <c r="L1402">
        <v>0</v>
      </c>
      <c r="M1402">
        <v>0</v>
      </c>
      <c r="N1402">
        <v>0</v>
      </c>
      <c r="O1402">
        <v>0</v>
      </c>
      <c r="Q1402">
        <v>70.599999999999994</v>
      </c>
    </row>
    <row r="1403" spans="1:17">
      <c r="A1403" t="s">
        <v>464</v>
      </c>
      <c r="B1403">
        <f>COUNTIF($A$2:A1403,A1403)</f>
        <v>2</v>
      </c>
      <c r="C1403" s="2">
        <v>45691</v>
      </c>
      <c r="D1403" t="s">
        <v>17</v>
      </c>
      <c r="E1403" t="s">
        <v>18</v>
      </c>
      <c r="F1403" t="s">
        <v>34</v>
      </c>
      <c r="G1403" t="s">
        <v>20</v>
      </c>
      <c r="H1403" t="s">
        <v>21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Q1403">
        <v>60.9</v>
      </c>
    </row>
    <row r="1404" spans="1:17">
      <c r="A1404" t="s">
        <v>1394</v>
      </c>
      <c r="B1404">
        <f>COUNTIF($A$2:A1404,A1404)</f>
        <v>2</v>
      </c>
      <c r="C1404" s="2">
        <v>45800</v>
      </c>
      <c r="D1404" t="s">
        <v>723</v>
      </c>
      <c r="E1404" t="s">
        <v>28</v>
      </c>
      <c r="F1404" t="s">
        <v>24</v>
      </c>
      <c r="G1404" t="s">
        <v>25</v>
      </c>
      <c r="H1404" t="s">
        <v>21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Q1404">
        <v>33.6</v>
      </c>
    </row>
    <row r="1405" spans="1:17">
      <c r="A1405" t="s">
        <v>127</v>
      </c>
      <c r="B1405">
        <f>COUNTIF($A$2:A1405,A1405)</f>
        <v>2</v>
      </c>
      <c r="C1405" s="2">
        <v>45693</v>
      </c>
      <c r="D1405" t="s">
        <v>17</v>
      </c>
      <c r="E1405" t="s">
        <v>28</v>
      </c>
      <c r="F1405" t="s">
        <v>24</v>
      </c>
      <c r="G1405" t="s">
        <v>41</v>
      </c>
      <c r="H1405" t="s">
        <v>26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Q1405">
        <v>68</v>
      </c>
    </row>
    <row r="1406" spans="1:17">
      <c r="A1406" t="s">
        <v>1242</v>
      </c>
      <c r="B1406">
        <f>COUNTIF($A$2:A1406,A1406)</f>
        <v>2</v>
      </c>
      <c r="C1406" s="2">
        <v>45712</v>
      </c>
      <c r="D1406" t="s">
        <v>723</v>
      </c>
      <c r="E1406" t="s">
        <v>23</v>
      </c>
      <c r="F1406" t="s">
        <v>24</v>
      </c>
      <c r="G1406" t="s">
        <v>25</v>
      </c>
      <c r="H1406" t="s">
        <v>21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Q1406">
        <v>62</v>
      </c>
    </row>
    <row r="1407" spans="1:17">
      <c r="A1407" t="s">
        <v>1264</v>
      </c>
      <c r="B1407">
        <f>COUNTIF($A$2:A1407,A1407)</f>
        <v>2</v>
      </c>
      <c r="C1407" s="2">
        <v>45746</v>
      </c>
      <c r="D1407" t="s">
        <v>723</v>
      </c>
      <c r="E1407" t="s">
        <v>28</v>
      </c>
      <c r="F1407" t="s">
        <v>24</v>
      </c>
      <c r="G1407" t="s">
        <v>25</v>
      </c>
      <c r="H1407" t="s">
        <v>26</v>
      </c>
      <c r="I1407">
        <v>1</v>
      </c>
      <c r="J1407">
        <v>1</v>
      </c>
      <c r="K1407">
        <v>1</v>
      </c>
      <c r="L1407">
        <v>0</v>
      </c>
      <c r="M1407">
        <v>0</v>
      </c>
      <c r="N1407">
        <v>1</v>
      </c>
      <c r="O1407">
        <v>0</v>
      </c>
      <c r="Q1407">
        <v>72.5</v>
      </c>
    </row>
    <row r="1408" spans="1:17">
      <c r="A1408" t="s">
        <v>1091</v>
      </c>
      <c r="B1408">
        <f>COUNTIF($A$2:A1408,A1408)</f>
        <v>2</v>
      </c>
      <c r="C1408" s="2">
        <v>45793</v>
      </c>
      <c r="D1408" t="s">
        <v>723</v>
      </c>
      <c r="E1408" t="s">
        <v>32</v>
      </c>
      <c r="F1408" t="s">
        <v>24</v>
      </c>
      <c r="G1408" t="s">
        <v>25</v>
      </c>
      <c r="H1408" t="s">
        <v>26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Q1408">
        <v>70.3</v>
      </c>
    </row>
    <row r="1409" spans="1:17">
      <c r="A1409" t="s">
        <v>572</v>
      </c>
      <c r="B1409">
        <f>COUNTIF($A$2:A1409,A1409)</f>
        <v>2</v>
      </c>
      <c r="C1409" s="2">
        <v>45799</v>
      </c>
      <c r="D1409" t="s">
        <v>17</v>
      </c>
      <c r="E1409" t="s">
        <v>18</v>
      </c>
      <c r="F1409" t="s">
        <v>24</v>
      </c>
      <c r="G1409" t="s">
        <v>29</v>
      </c>
      <c r="H1409" t="s">
        <v>21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Q1409">
        <v>39.9</v>
      </c>
    </row>
    <row r="1411" spans="1:17">
      <c r="B1411">
        <f>COUNTIF(B2:B1409,"&gt;1")</f>
        <v>8</v>
      </c>
    </row>
  </sheetData>
  <autoFilter ref="A1:Q1409" xr:uid="{37D1FD8A-246C-47FB-9F19-43EF42459E4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4ADC-F04E-4A49-B0E7-F2E3BB99266E}">
  <dimension ref="A1:Q1411"/>
  <sheetViews>
    <sheetView workbookViewId="0"/>
  </sheetViews>
  <sheetFormatPr defaultRowHeight="13.8"/>
  <cols>
    <col min="2" max="2" width="10.09765625" bestFit="1" customWidth="1"/>
    <col min="8" max="8" width="14.59765625" customWidth="1"/>
    <col min="9" max="9" width="13.3984375" customWidth="1"/>
    <col min="10" max="10" width="11.69921875" customWidth="1"/>
    <col min="11" max="11" width="11.19921875" customWidth="1"/>
    <col min="13" max="13" width="17.59765625" bestFit="1" customWidth="1"/>
    <col min="14" max="14" width="17.59765625" customWidth="1"/>
    <col min="15" max="15" width="17.796875" customWidth="1"/>
  </cols>
  <sheetData>
    <row r="1" spans="1:17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1455</v>
      </c>
      <c r="O1" s="1" t="s">
        <v>13</v>
      </c>
      <c r="P1" s="1" t="s">
        <v>14</v>
      </c>
      <c r="Q1" s="1" t="s">
        <v>15</v>
      </c>
    </row>
    <row r="2" spans="1:17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7" t="str">
        <f>IF(OR(M2=0,M2=1),"Valid","Invalid")</f>
        <v>Valid</v>
      </c>
      <c r="O2">
        <v>0</v>
      </c>
      <c r="Q2">
        <v>45.7</v>
      </c>
    </row>
    <row r="3" spans="1:17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 s="7" t="str">
        <f t="shared" ref="N3:N66" si="0">IF(OR(M3=0,M3=1),"Valid","Invalid")</f>
        <v>Valid</v>
      </c>
      <c r="O3">
        <v>0</v>
      </c>
      <c r="Q3">
        <v>48.6</v>
      </c>
    </row>
    <row r="4" spans="1:17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 s="7" t="str">
        <f t="shared" si="0"/>
        <v>Valid</v>
      </c>
      <c r="O4">
        <v>0</v>
      </c>
      <c r="Q4">
        <v>35.4</v>
      </c>
    </row>
    <row r="5" spans="1:17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 s="7" t="str">
        <f t="shared" si="0"/>
        <v>Valid</v>
      </c>
      <c r="O5">
        <v>0</v>
      </c>
      <c r="Q5">
        <v>64.599999999999994</v>
      </c>
    </row>
    <row r="6" spans="1:17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7" t="str">
        <f t="shared" si="0"/>
        <v>Valid</v>
      </c>
      <c r="O6">
        <v>0</v>
      </c>
      <c r="Q6">
        <v>66.599999999999994</v>
      </c>
    </row>
    <row r="7" spans="1:17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 s="7" t="str">
        <f t="shared" si="0"/>
        <v>Valid</v>
      </c>
      <c r="O7">
        <v>0</v>
      </c>
      <c r="Q7">
        <v>40.799999999999997</v>
      </c>
    </row>
    <row r="8" spans="1:17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 s="7" t="str">
        <f t="shared" si="0"/>
        <v>Valid</v>
      </c>
      <c r="O8">
        <v>0</v>
      </c>
      <c r="Q8">
        <v>57.1</v>
      </c>
    </row>
    <row r="9" spans="1:17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7" t="str">
        <f t="shared" si="0"/>
        <v>Valid</v>
      </c>
      <c r="O9">
        <v>0</v>
      </c>
      <c r="Q9">
        <v>36.4</v>
      </c>
    </row>
    <row r="10" spans="1:17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7" t="str">
        <f t="shared" si="0"/>
        <v>Valid</v>
      </c>
      <c r="O10">
        <v>0</v>
      </c>
      <c r="Q10">
        <v>55.4</v>
      </c>
    </row>
    <row r="11" spans="1:17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 s="7" t="str">
        <f t="shared" si="0"/>
        <v>Valid</v>
      </c>
      <c r="O11">
        <v>0</v>
      </c>
      <c r="Q11">
        <v>57.3</v>
      </c>
    </row>
    <row r="12" spans="1:17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 s="7" t="str">
        <f t="shared" si="0"/>
        <v>Valid</v>
      </c>
      <c r="O12">
        <v>0</v>
      </c>
      <c r="Q12">
        <v>63.6</v>
      </c>
    </row>
    <row r="13" spans="1:17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 s="7" t="str">
        <f t="shared" si="0"/>
        <v>Valid</v>
      </c>
      <c r="O13">
        <v>0</v>
      </c>
      <c r="Q13">
        <v>80.400000000000006</v>
      </c>
    </row>
    <row r="14" spans="1:17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 s="7" t="str">
        <f t="shared" si="0"/>
        <v>Valid</v>
      </c>
      <c r="O14">
        <v>0</v>
      </c>
      <c r="Q14">
        <v>62.4</v>
      </c>
    </row>
    <row r="15" spans="1:17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 s="7" t="str">
        <f t="shared" si="0"/>
        <v>Valid</v>
      </c>
      <c r="O15">
        <v>0</v>
      </c>
      <c r="Q15">
        <v>82.4</v>
      </c>
    </row>
    <row r="16" spans="1:17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7" t="str">
        <f t="shared" si="0"/>
        <v>Valid</v>
      </c>
      <c r="O16">
        <v>0</v>
      </c>
      <c r="Q16">
        <v>61.2</v>
      </c>
    </row>
    <row r="17" spans="1:17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 s="7" t="str">
        <f t="shared" si="0"/>
        <v>Valid</v>
      </c>
      <c r="O17">
        <v>0</v>
      </c>
      <c r="Q17">
        <v>68.900000000000006</v>
      </c>
    </row>
    <row r="18" spans="1:17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 s="7" t="str">
        <f t="shared" si="0"/>
        <v>Valid</v>
      </c>
      <c r="O18">
        <v>0</v>
      </c>
      <c r="Q18">
        <v>71.900000000000006</v>
      </c>
    </row>
    <row r="19" spans="1:17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7" t="str">
        <f t="shared" si="0"/>
        <v>Valid</v>
      </c>
      <c r="O19">
        <v>0</v>
      </c>
      <c r="Q19">
        <v>50.5</v>
      </c>
    </row>
    <row r="20" spans="1:17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7" t="str">
        <f t="shared" si="0"/>
        <v>Valid</v>
      </c>
      <c r="O20">
        <v>0</v>
      </c>
      <c r="Q20">
        <v>49.3</v>
      </c>
    </row>
    <row r="21" spans="1:17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 s="7" t="str">
        <f t="shared" si="0"/>
        <v>Invalid</v>
      </c>
      <c r="O21">
        <v>0</v>
      </c>
      <c r="Q21">
        <v>60.9</v>
      </c>
    </row>
    <row r="22" spans="1:17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 s="7" t="str">
        <f t="shared" si="0"/>
        <v>Valid</v>
      </c>
      <c r="O22">
        <v>0</v>
      </c>
      <c r="Q22">
        <v>62.7</v>
      </c>
    </row>
    <row r="23" spans="1:17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7" t="str">
        <f t="shared" si="0"/>
        <v>Valid</v>
      </c>
      <c r="O23">
        <v>0</v>
      </c>
      <c r="Q23">
        <v>52.7</v>
      </c>
    </row>
    <row r="24" spans="1:17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7" t="str">
        <f t="shared" si="0"/>
        <v>Valid</v>
      </c>
      <c r="O24">
        <v>0</v>
      </c>
      <c r="Q24">
        <v>54</v>
      </c>
    </row>
    <row r="25" spans="1:17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 s="7" t="str">
        <f t="shared" si="0"/>
        <v>Valid</v>
      </c>
      <c r="O25">
        <v>0</v>
      </c>
      <c r="Q25">
        <v>51.6</v>
      </c>
    </row>
    <row r="26" spans="1:17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 s="7" t="str">
        <f t="shared" si="0"/>
        <v>Invalid</v>
      </c>
      <c r="O26">
        <v>0</v>
      </c>
      <c r="Q26">
        <v>66.900000000000006</v>
      </c>
    </row>
    <row r="27" spans="1:17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7" t="str">
        <f t="shared" si="0"/>
        <v>Valid</v>
      </c>
      <c r="O27">
        <v>0</v>
      </c>
      <c r="Q27">
        <v>67.400000000000006</v>
      </c>
    </row>
    <row r="28" spans="1:17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7" t="str">
        <f t="shared" si="0"/>
        <v>Valid</v>
      </c>
      <c r="O28">
        <v>0</v>
      </c>
      <c r="Q28">
        <v>58.8</v>
      </c>
    </row>
    <row r="29" spans="1:17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 s="7" t="str">
        <f t="shared" si="0"/>
        <v>Valid</v>
      </c>
      <c r="O29">
        <v>0</v>
      </c>
      <c r="Q29">
        <v>73.8</v>
      </c>
    </row>
    <row r="30" spans="1:17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7" t="str">
        <f t="shared" si="0"/>
        <v>Valid</v>
      </c>
      <c r="O30">
        <v>0</v>
      </c>
      <c r="Q30">
        <v>60.1</v>
      </c>
    </row>
    <row r="31" spans="1:17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 s="7" t="str">
        <f t="shared" si="0"/>
        <v>Valid</v>
      </c>
      <c r="O31">
        <v>0</v>
      </c>
      <c r="Q31">
        <v>41</v>
      </c>
    </row>
    <row r="32" spans="1:17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 s="7" t="str">
        <f t="shared" si="0"/>
        <v>Valid</v>
      </c>
      <c r="O32">
        <v>0</v>
      </c>
      <c r="Q32">
        <v>80.3</v>
      </c>
    </row>
    <row r="33" spans="1:17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7" t="str">
        <f t="shared" si="0"/>
        <v>Valid</v>
      </c>
      <c r="O33">
        <v>0</v>
      </c>
      <c r="Q33">
        <v>67.599999999999994</v>
      </c>
    </row>
    <row r="34" spans="1:17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7" t="str">
        <f t="shared" si="0"/>
        <v>Valid</v>
      </c>
      <c r="O34">
        <v>0</v>
      </c>
      <c r="Q34">
        <v>64</v>
      </c>
    </row>
    <row r="35" spans="1:17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 s="7" t="str">
        <f t="shared" si="0"/>
        <v>Valid</v>
      </c>
      <c r="O35">
        <v>0</v>
      </c>
      <c r="Q35">
        <v>27.2</v>
      </c>
    </row>
    <row r="36" spans="1:17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 s="7" t="str">
        <f t="shared" si="0"/>
        <v>Valid</v>
      </c>
      <c r="O36">
        <v>0</v>
      </c>
      <c r="Q36">
        <v>85.4</v>
      </c>
    </row>
    <row r="37" spans="1:17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 s="7" t="str">
        <f t="shared" si="0"/>
        <v>Valid</v>
      </c>
      <c r="O37">
        <v>0</v>
      </c>
      <c r="Q37">
        <v>75.900000000000006</v>
      </c>
    </row>
    <row r="38" spans="1:17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 s="7" t="str">
        <f t="shared" si="0"/>
        <v>Valid</v>
      </c>
      <c r="O38">
        <v>0</v>
      </c>
      <c r="Q38">
        <v>34.799999999999997</v>
      </c>
    </row>
    <row r="39" spans="1:17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 s="7" t="str">
        <f t="shared" si="0"/>
        <v>Invalid</v>
      </c>
      <c r="O39">
        <v>0</v>
      </c>
      <c r="Q39">
        <v>48.9</v>
      </c>
    </row>
    <row r="40" spans="1:17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 s="7" t="str">
        <f t="shared" si="0"/>
        <v>Valid</v>
      </c>
      <c r="O40">
        <v>0</v>
      </c>
      <c r="Q40">
        <v>41.5</v>
      </c>
    </row>
    <row r="41" spans="1:17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 s="7" t="str">
        <f t="shared" si="0"/>
        <v>Valid</v>
      </c>
      <c r="O41">
        <v>0</v>
      </c>
      <c r="Q41">
        <v>51.5</v>
      </c>
    </row>
    <row r="42" spans="1:17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7" t="str">
        <f t="shared" si="0"/>
        <v>Valid</v>
      </c>
      <c r="O42">
        <v>0</v>
      </c>
      <c r="Q42">
        <v>53.2</v>
      </c>
    </row>
    <row r="43" spans="1:17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7" t="str">
        <f t="shared" si="0"/>
        <v>Valid</v>
      </c>
      <c r="O43">
        <v>0</v>
      </c>
      <c r="Q43">
        <v>55.6</v>
      </c>
    </row>
    <row r="44" spans="1:17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7" t="str">
        <f t="shared" si="0"/>
        <v>Valid</v>
      </c>
      <c r="O44">
        <v>0</v>
      </c>
      <c r="Q44">
        <v>73</v>
      </c>
    </row>
    <row r="45" spans="1:17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 s="7" t="str">
        <f t="shared" si="0"/>
        <v>Valid</v>
      </c>
      <c r="O45">
        <v>0</v>
      </c>
      <c r="Q45">
        <v>65</v>
      </c>
    </row>
    <row r="46" spans="1:17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 s="7" t="str">
        <f t="shared" si="0"/>
        <v>Invalid</v>
      </c>
      <c r="O46">
        <v>0</v>
      </c>
      <c r="Q46">
        <v>56.3</v>
      </c>
    </row>
    <row r="47" spans="1:17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 s="7" t="str">
        <f t="shared" si="0"/>
        <v>Valid</v>
      </c>
      <c r="O47">
        <v>0</v>
      </c>
      <c r="Q47">
        <v>62.4</v>
      </c>
    </row>
    <row r="48" spans="1:17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 s="7" t="str">
        <f t="shared" si="0"/>
        <v>Valid</v>
      </c>
      <c r="O48">
        <v>0</v>
      </c>
      <c r="Q48">
        <v>58.1</v>
      </c>
    </row>
    <row r="49" spans="1:17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 s="7" t="str">
        <f t="shared" si="0"/>
        <v>Valid</v>
      </c>
      <c r="O49">
        <v>0</v>
      </c>
      <c r="Q49">
        <v>80.8</v>
      </c>
    </row>
    <row r="50" spans="1:17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 s="7" t="str">
        <f t="shared" si="0"/>
        <v>Valid</v>
      </c>
      <c r="O50">
        <v>0</v>
      </c>
      <c r="Q50">
        <v>42.9</v>
      </c>
    </row>
    <row r="51" spans="1:17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 s="7" t="str">
        <f t="shared" si="0"/>
        <v>Valid</v>
      </c>
      <c r="O51">
        <v>0</v>
      </c>
      <c r="Q51">
        <v>52.7</v>
      </c>
    </row>
    <row r="52" spans="1:17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7" t="str">
        <f t="shared" si="0"/>
        <v>Valid</v>
      </c>
      <c r="O52">
        <v>0</v>
      </c>
      <c r="Q52">
        <v>46.9</v>
      </c>
    </row>
    <row r="53" spans="1:17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 s="7" t="str">
        <f t="shared" si="0"/>
        <v>Valid</v>
      </c>
      <c r="O53">
        <v>0</v>
      </c>
      <c r="Q53">
        <v>63</v>
      </c>
    </row>
    <row r="54" spans="1:17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s="7" t="str">
        <f t="shared" si="0"/>
        <v>Valid</v>
      </c>
      <c r="O54">
        <v>0</v>
      </c>
      <c r="Q54">
        <v>53.6</v>
      </c>
    </row>
    <row r="55" spans="1:17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7" t="str">
        <f t="shared" si="0"/>
        <v>Valid</v>
      </c>
      <c r="O55">
        <v>0</v>
      </c>
      <c r="Q55">
        <v>49.6</v>
      </c>
    </row>
    <row r="56" spans="1:17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7" t="str">
        <f t="shared" si="0"/>
        <v>Valid</v>
      </c>
      <c r="O56">
        <v>0</v>
      </c>
      <c r="Q56">
        <v>54</v>
      </c>
    </row>
    <row r="57" spans="1:17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 s="7" t="str">
        <f t="shared" si="0"/>
        <v>Invalid</v>
      </c>
      <c r="O57">
        <v>0</v>
      </c>
      <c r="Q57">
        <v>50</v>
      </c>
    </row>
    <row r="58" spans="1:17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7" t="str">
        <f t="shared" si="0"/>
        <v>Valid</v>
      </c>
      <c r="O58">
        <v>0</v>
      </c>
      <c r="Q58">
        <v>48.1</v>
      </c>
    </row>
    <row r="59" spans="1:17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 s="7" t="str">
        <f t="shared" si="0"/>
        <v>Valid</v>
      </c>
      <c r="O59">
        <v>0</v>
      </c>
      <c r="Q59">
        <v>49.6</v>
      </c>
    </row>
    <row r="60" spans="1:17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 s="7" t="str">
        <f t="shared" si="0"/>
        <v>Invalid</v>
      </c>
      <c r="O60">
        <v>0</v>
      </c>
      <c r="Q60">
        <v>48.9</v>
      </c>
    </row>
    <row r="61" spans="1:17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 s="7" t="str">
        <f t="shared" si="0"/>
        <v>Valid</v>
      </c>
      <c r="O61">
        <v>0</v>
      </c>
      <c r="P61">
        <v>16</v>
      </c>
      <c r="Q61">
        <v>56.5</v>
      </c>
    </row>
    <row r="62" spans="1:17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 s="7" t="str">
        <f t="shared" si="0"/>
        <v>Valid</v>
      </c>
      <c r="O62">
        <v>0</v>
      </c>
      <c r="Q62">
        <v>53.7</v>
      </c>
    </row>
    <row r="63" spans="1:17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7" t="str">
        <f t="shared" si="0"/>
        <v>Valid</v>
      </c>
      <c r="O63">
        <v>0</v>
      </c>
      <c r="Q63">
        <v>62.2</v>
      </c>
    </row>
    <row r="64" spans="1:17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 s="7" t="str">
        <f t="shared" si="0"/>
        <v>Valid</v>
      </c>
      <c r="O64">
        <v>0</v>
      </c>
      <c r="Q64">
        <v>50.2</v>
      </c>
    </row>
    <row r="65" spans="1:17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 s="7" t="str">
        <f t="shared" si="0"/>
        <v>Valid</v>
      </c>
      <c r="O65">
        <v>0</v>
      </c>
      <c r="Q65">
        <v>74.3</v>
      </c>
    </row>
    <row r="66" spans="1:17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 s="7" t="str">
        <f t="shared" si="0"/>
        <v>Valid</v>
      </c>
      <c r="O66">
        <v>0</v>
      </c>
      <c r="Q66">
        <v>58</v>
      </c>
    </row>
    <row r="67" spans="1:17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7" t="str">
        <f t="shared" ref="N67:N130" si="1">IF(OR(M67=0,M67=1),"Valid","Invalid")</f>
        <v>Valid</v>
      </c>
      <c r="O67">
        <v>0</v>
      </c>
      <c r="Q67">
        <v>46.7</v>
      </c>
    </row>
    <row r="68" spans="1:17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 s="7" t="str">
        <f t="shared" si="1"/>
        <v>Valid</v>
      </c>
      <c r="O68">
        <v>0</v>
      </c>
      <c r="Q68">
        <v>49.6</v>
      </c>
    </row>
    <row r="69" spans="1:17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7" t="str">
        <f t="shared" si="1"/>
        <v>Valid</v>
      </c>
      <c r="O69">
        <v>0</v>
      </c>
      <c r="Q69">
        <v>60.4</v>
      </c>
    </row>
    <row r="70" spans="1:17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 s="7" t="str">
        <f t="shared" si="1"/>
        <v>Valid</v>
      </c>
      <c r="O70">
        <v>0</v>
      </c>
      <c r="Q70">
        <v>55.3</v>
      </c>
    </row>
    <row r="71" spans="1:17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7" t="str">
        <f t="shared" si="1"/>
        <v>Valid</v>
      </c>
      <c r="O71">
        <v>0</v>
      </c>
      <c r="Q71">
        <v>56.2</v>
      </c>
    </row>
    <row r="72" spans="1:17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7" t="str">
        <f t="shared" si="1"/>
        <v>Valid</v>
      </c>
      <c r="O72">
        <v>0</v>
      </c>
      <c r="Q72">
        <v>29.4</v>
      </c>
    </row>
    <row r="73" spans="1:17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 s="7" t="str">
        <f t="shared" si="1"/>
        <v>Valid</v>
      </c>
      <c r="O73">
        <v>0</v>
      </c>
      <c r="Q73">
        <v>54.2</v>
      </c>
    </row>
    <row r="74" spans="1:17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7" t="str">
        <f t="shared" si="1"/>
        <v>Valid</v>
      </c>
      <c r="O74">
        <v>0</v>
      </c>
      <c r="Q74">
        <v>46.4</v>
      </c>
    </row>
    <row r="75" spans="1:17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7" t="str">
        <f t="shared" si="1"/>
        <v>Valid</v>
      </c>
      <c r="O75">
        <v>0</v>
      </c>
      <c r="Q75">
        <v>54.5</v>
      </c>
    </row>
    <row r="76" spans="1:17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7" t="str">
        <f t="shared" si="1"/>
        <v>Valid</v>
      </c>
      <c r="O76">
        <v>0</v>
      </c>
      <c r="Q76">
        <v>58.5</v>
      </c>
    </row>
    <row r="77" spans="1:17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7" t="str">
        <f t="shared" si="1"/>
        <v>Valid</v>
      </c>
      <c r="O77">
        <v>0</v>
      </c>
      <c r="Q77">
        <v>75.900000000000006</v>
      </c>
    </row>
    <row r="78" spans="1:17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s="7" t="str">
        <f t="shared" si="1"/>
        <v>Valid</v>
      </c>
      <c r="O78">
        <v>0</v>
      </c>
      <c r="Q78">
        <v>84.9</v>
      </c>
    </row>
    <row r="79" spans="1:17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 s="7" t="str">
        <f t="shared" si="1"/>
        <v>Invalid</v>
      </c>
      <c r="O79">
        <v>0</v>
      </c>
      <c r="Q79">
        <v>48.4</v>
      </c>
    </row>
    <row r="80" spans="1:17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 s="7" t="str">
        <f t="shared" si="1"/>
        <v>Valid</v>
      </c>
      <c r="O80">
        <v>0</v>
      </c>
      <c r="P80">
        <v>7</v>
      </c>
      <c r="Q80">
        <v>38</v>
      </c>
    </row>
    <row r="81" spans="1:17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 s="7" t="str">
        <f t="shared" si="1"/>
        <v>Valid</v>
      </c>
      <c r="O81">
        <v>0</v>
      </c>
      <c r="Q81">
        <v>44.2</v>
      </c>
    </row>
    <row r="82" spans="1:17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 s="7" t="str">
        <f t="shared" si="1"/>
        <v>Valid</v>
      </c>
      <c r="O82">
        <v>0</v>
      </c>
      <c r="Q82">
        <v>81.2</v>
      </c>
    </row>
    <row r="83" spans="1:17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 s="7" t="str">
        <f t="shared" si="1"/>
        <v>Valid</v>
      </c>
      <c r="O83">
        <v>0</v>
      </c>
      <c r="Q83">
        <v>63.8</v>
      </c>
    </row>
    <row r="84" spans="1:17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7" t="str">
        <f t="shared" si="1"/>
        <v>Valid</v>
      </c>
      <c r="O84">
        <v>0</v>
      </c>
      <c r="Q84">
        <v>64.7</v>
      </c>
    </row>
    <row r="85" spans="1:17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7" t="str">
        <f t="shared" si="1"/>
        <v>Valid</v>
      </c>
      <c r="O85">
        <v>0</v>
      </c>
      <c r="Q85">
        <v>60.4</v>
      </c>
    </row>
    <row r="86" spans="1:17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7" t="str">
        <f t="shared" si="1"/>
        <v>Valid</v>
      </c>
      <c r="O86">
        <v>0</v>
      </c>
      <c r="Q86">
        <v>66.599999999999994</v>
      </c>
    </row>
    <row r="87" spans="1:17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 s="7" t="str">
        <f t="shared" si="1"/>
        <v>Valid</v>
      </c>
      <c r="O87">
        <v>0</v>
      </c>
      <c r="Q87">
        <v>50.9</v>
      </c>
    </row>
    <row r="88" spans="1:17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7" t="str">
        <f t="shared" si="1"/>
        <v>Valid</v>
      </c>
      <c r="O88">
        <v>0</v>
      </c>
      <c r="Q88">
        <v>51</v>
      </c>
    </row>
    <row r="89" spans="1:17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7" t="str">
        <f t="shared" si="1"/>
        <v>Valid</v>
      </c>
      <c r="O89">
        <v>0</v>
      </c>
      <c r="Q89">
        <v>65.8</v>
      </c>
    </row>
    <row r="90" spans="1:17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 s="7" t="str">
        <f t="shared" si="1"/>
        <v>Valid</v>
      </c>
      <c r="O90">
        <v>0</v>
      </c>
      <c r="Q90">
        <v>61.8</v>
      </c>
    </row>
    <row r="91" spans="1:17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s="7" t="str">
        <f t="shared" si="1"/>
        <v>Valid</v>
      </c>
      <c r="O91">
        <v>0</v>
      </c>
      <c r="Q91">
        <v>54.5</v>
      </c>
    </row>
    <row r="92" spans="1:17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 s="7" t="str">
        <f t="shared" si="1"/>
        <v>Valid</v>
      </c>
      <c r="O92">
        <v>0</v>
      </c>
      <c r="Q92">
        <v>72.2</v>
      </c>
    </row>
    <row r="93" spans="1:17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 s="7" t="str">
        <f t="shared" si="1"/>
        <v>Valid</v>
      </c>
      <c r="O93">
        <v>0</v>
      </c>
      <c r="Q93">
        <v>42.3</v>
      </c>
    </row>
    <row r="94" spans="1:17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 s="7" t="str">
        <f t="shared" si="1"/>
        <v>Valid</v>
      </c>
      <c r="O94">
        <v>0</v>
      </c>
      <c r="Q94">
        <v>76.2</v>
      </c>
    </row>
    <row r="95" spans="1:17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 s="7" t="str">
        <f t="shared" si="1"/>
        <v>Valid</v>
      </c>
      <c r="O95">
        <v>0</v>
      </c>
      <c r="Q95">
        <v>37.4</v>
      </c>
    </row>
    <row r="96" spans="1:17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7" t="str">
        <f t="shared" si="1"/>
        <v>Valid</v>
      </c>
      <c r="O96">
        <v>0</v>
      </c>
      <c r="Q96">
        <v>84.2</v>
      </c>
    </row>
    <row r="97" spans="1:17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7" t="str">
        <f t="shared" si="1"/>
        <v>Valid</v>
      </c>
      <c r="O97">
        <v>0</v>
      </c>
      <c r="Q97">
        <v>68</v>
      </c>
    </row>
    <row r="98" spans="1:17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 s="7" t="str">
        <f t="shared" si="1"/>
        <v>Valid</v>
      </c>
      <c r="O98">
        <v>0</v>
      </c>
      <c r="Q98">
        <v>53.5</v>
      </c>
    </row>
    <row r="99" spans="1:17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 s="7" t="str">
        <f t="shared" si="1"/>
        <v>Valid</v>
      </c>
      <c r="O99">
        <v>0</v>
      </c>
      <c r="Q99">
        <v>63.2</v>
      </c>
    </row>
    <row r="100" spans="1:17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 s="7" t="str">
        <f t="shared" si="1"/>
        <v>Valid</v>
      </c>
      <c r="O100">
        <v>0</v>
      </c>
      <c r="P100">
        <v>9</v>
      </c>
      <c r="Q100">
        <v>55.9</v>
      </c>
    </row>
    <row r="101" spans="1:17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 s="7" t="str">
        <f t="shared" si="1"/>
        <v>Valid</v>
      </c>
      <c r="O101">
        <v>0</v>
      </c>
      <c r="Q101">
        <v>63.5</v>
      </c>
    </row>
    <row r="102" spans="1:17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 s="7" t="str">
        <f t="shared" si="1"/>
        <v>Valid</v>
      </c>
      <c r="O102">
        <v>0</v>
      </c>
      <c r="Q102">
        <v>51.5</v>
      </c>
    </row>
    <row r="103" spans="1:17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s="7" t="str">
        <f t="shared" si="1"/>
        <v>Valid</v>
      </c>
      <c r="O103">
        <v>0</v>
      </c>
      <c r="Q103">
        <v>74.400000000000006</v>
      </c>
    </row>
    <row r="104" spans="1:17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 s="7" t="str">
        <f t="shared" si="1"/>
        <v>Valid</v>
      </c>
      <c r="O104">
        <v>0</v>
      </c>
      <c r="P104">
        <v>13</v>
      </c>
      <c r="Q104">
        <v>60.2</v>
      </c>
    </row>
    <row r="105" spans="1:17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 s="7" t="str">
        <f t="shared" si="1"/>
        <v>Valid</v>
      </c>
      <c r="O105">
        <v>0</v>
      </c>
      <c r="Q105">
        <v>67.2</v>
      </c>
    </row>
    <row r="106" spans="1:17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 s="7" t="str">
        <f t="shared" si="1"/>
        <v>Valid</v>
      </c>
      <c r="O106">
        <v>0</v>
      </c>
      <c r="Q106">
        <v>79.599999999999994</v>
      </c>
    </row>
    <row r="107" spans="1:17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 s="7" t="str">
        <f t="shared" si="1"/>
        <v>Valid</v>
      </c>
      <c r="O107">
        <v>0</v>
      </c>
      <c r="P107">
        <v>6</v>
      </c>
      <c r="Q107">
        <v>61</v>
      </c>
    </row>
    <row r="108" spans="1:17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 s="7" t="str">
        <f t="shared" si="1"/>
        <v>Invalid</v>
      </c>
      <c r="O108">
        <v>0</v>
      </c>
      <c r="Q108">
        <v>51.1</v>
      </c>
    </row>
    <row r="109" spans="1:17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 s="7" t="str">
        <f t="shared" si="1"/>
        <v>Valid</v>
      </c>
      <c r="O109">
        <v>0</v>
      </c>
      <c r="Q109">
        <v>92.1</v>
      </c>
    </row>
    <row r="110" spans="1:17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s="7" t="str">
        <f t="shared" si="1"/>
        <v>Valid</v>
      </c>
      <c r="O110">
        <v>0</v>
      </c>
      <c r="Q110">
        <v>82.1</v>
      </c>
    </row>
    <row r="111" spans="1:17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 s="7" t="str">
        <f t="shared" si="1"/>
        <v>Valid</v>
      </c>
      <c r="O111">
        <v>0</v>
      </c>
      <c r="Q111">
        <v>74</v>
      </c>
    </row>
    <row r="112" spans="1:17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 s="7" t="str">
        <f t="shared" si="1"/>
        <v>Valid</v>
      </c>
      <c r="O112">
        <v>0</v>
      </c>
      <c r="Q112">
        <v>63.4</v>
      </c>
    </row>
    <row r="113" spans="1:17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 s="7" t="str">
        <f t="shared" si="1"/>
        <v>Valid</v>
      </c>
      <c r="O113">
        <v>0</v>
      </c>
      <c r="Q113">
        <v>53.2</v>
      </c>
    </row>
    <row r="114" spans="1:17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s="7" t="str">
        <f t="shared" si="1"/>
        <v>Valid</v>
      </c>
      <c r="O114">
        <v>0</v>
      </c>
      <c r="Q114">
        <v>48.1</v>
      </c>
    </row>
    <row r="115" spans="1:17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 s="7" t="str">
        <f t="shared" si="1"/>
        <v>Valid</v>
      </c>
      <c r="O115">
        <v>0</v>
      </c>
      <c r="Q115">
        <v>61.5</v>
      </c>
    </row>
    <row r="116" spans="1:17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 s="7" t="str">
        <f t="shared" si="1"/>
        <v>Valid</v>
      </c>
      <c r="O116">
        <v>0</v>
      </c>
      <c r="Q116">
        <v>63.2</v>
      </c>
    </row>
    <row r="117" spans="1:17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7" t="str">
        <f t="shared" si="1"/>
        <v>Valid</v>
      </c>
      <c r="O117">
        <v>0</v>
      </c>
      <c r="Q117">
        <v>71.900000000000006</v>
      </c>
    </row>
    <row r="118" spans="1:17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7" t="str">
        <f t="shared" si="1"/>
        <v>Valid</v>
      </c>
      <c r="O118">
        <v>0</v>
      </c>
      <c r="Q118">
        <v>62.7</v>
      </c>
    </row>
    <row r="119" spans="1:17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 s="7" t="str">
        <f t="shared" si="1"/>
        <v>Valid</v>
      </c>
      <c r="O119">
        <v>0</v>
      </c>
      <c r="Q119">
        <v>51.5</v>
      </c>
    </row>
    <row r="120" spans="1:17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 s="7" t="str">
        <f t="shared" si="1"/>
        <v>Valid</v>
      </c>
      <c r="O120">
        <v>0</v>
      </c>
      <c r="Q120">
        <v>39.1</v>
      </c>
    </row>
    <row r="121" spans="1:17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 s="7" t="str">
        <f t="shared" si="1"/>
        <v>Valid</v>
      </c>
      <c r="O121">
        <v>0</v>
      </c>
      <c r="Q121">
        <v>43.8</v>
      </c>
    </row>
    <row r="122" spans="1:17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s="7" t="str">
        <f t="shared" si="1"/>
        <v>Valid</v>
      </c>
      <c r="O122">
        <v>0</v>
      </c>
      <c r="Q122">
        <v>59.9</v>
      </c>
    </row>
    <row r="123" spans="1:17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 s="7" t="str">
        <f t="shared" si="1"/>
        <v>Valid</v>
      </c>
      <c r="O123">
        <v>0</v>
      </c>
      <c r="Q123">
        <v>71.400000000000006</v>
      </c>
    </row>
    <row r="124" spans="1:17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s="7" t="str">
        <f t="shared" si="1"/>
        <v>Valid</v>
      </c>
      <c r="O124">
        <v>0</v>
      </c>
      <c r="Q124">
        <v>36.1</v>
      </c>
    </row>
    <row r="125" spans="1:17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 s="7" t="str">
        <f t="shared" si="1"/>
        <v>Valid</v>
      </c>
      <c r="O125">
        <v>0</v>
      </c>
      <c r="Q125">
        <v>47.9</v>
      </c>
    </row>
    <row r="126" spans="1:17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 s="7" t="str">
        <f t="shared" si="1"/>
        <v>Valid</v>
      </c>
      <c r="O126">
        <v>0</v>
      </c>
      <c r="Q126">
        <v>62.5</v>
      </c>
    </row>
    <row r="127" spans="1:17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s="7" t="str">
        <f t="shared" si="1"/>
        <v>Valid</v>
      </c>
      <c r="O127">
        <v>0</v>
      </c>
      <c r="Q127">
        <v>56.9</v>
      </c>
    </row>
    <row r="128" spans="1:17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s="7" t="str">
        <f t="shared" si="1"/>
        <v>Valid</v>
      </c>
      <c r="O128">
        <v>0</v>
      </c>
      <c r="Q128">
        <v>64.7</v>
      </c>
    </row>
    <row r="129" spans="1:17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 s="7" t="str">
        <f t="shared" si="1"/>
        <v>Valid</v>
      </c>
      <c r="O129">
        <v>0</v>
      </c>
      <c r="Q129">
        <v>64</v>
      </c>
    </row>
    <row r="130" spans="1:17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 s="7" t="str">
        <f t="shared" si="1"/>
        <v>Valid</v>
      </c>
      <c r="O130">
        <v>0</v>
      </c>
      <c r="Q130">
        <v>75.2</v>
      </c>
    </row>
    <row r="131" spans="1:17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 s="7" t="str">
        <f t="shared" ref="N131:N194" si="2">IF(OR(M131=0,M131=1),"Valid","Invalid")</f>
        <v>Valid</v>
      </c>
      <c r="O131">
        <v>0</v>
      </c>
      <c r="Q131">
        <v>79</v>
      </c>
    </row>
    <row r="132" spans="1:17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7" t="str">
        <f t="shared" si="2"/>
        <v>Valid</v>
      </c>
      <c r="O132">
        <v>0</v>
      </c>
      <c r="Q132">
        <v>33</v>
      </c>
    </row>
    <row r="133" spans="1:17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 s="7" t="str">
        <f t="shared" si="2"/>
        <v>Valid</v>
      </c>
      <c r="O133">
        <v>0</v>
      </c>
      <c r="Q133">
        <v>67.900000000000006</v>
      </c>
    </row>
    <row r="134" spans="1:17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7" t="str">
        <f t="shared" si="2"/>
        <v>Valid</v>
      </c>
      <c r="O134">
        <v>0</v>
      </c>
      <c r="Q134">
        <v>42.2</v>
      </c>
    </row>
    <row r="135" spans="1:17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 s="7" t="str">
        <f t="shared" si="2"/>
        <v>Valid</v>
      </c>
      <c r="O135">
        <v>0</v>
      </c>
      <c r="Q135">
        <v>43.4</v>
      </c>
    </row>
    <row r="136" spans="1:17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s="7" t="str">
        <f t="shared" si="2"/>
        <v>Valid</v>
      </c>
      <c r="O136">
        <v>0</v>
      </c>
      <c r="Q136">
        <v>54.4</v>
      </c>
    </row>
    <row r="137" spans="1:17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7" t="str">
        <f t="shared" si="2"/>
        <v>Valid</v>
      </c>
      <c r="O137">
        <v>0</v>
      </c>
      <c r="Q137">
        <v>45.7</v>
      </c>
    </row>
    <row r="138" spans="1:17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 s="7" t="str">
        <f t="shared" si="2"/>
        <v>Invalid</v>
      </c>
      <c r="O138">
        <v>0</v>
      </c>
      <c r="Q138">
        <v>32</v>
      </c>
    </row>
    <row r="139" spans="1:17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 s="7" t="str">
        <f t="shared" si="2"/>
        <v>Valid</v>
      </c>
      <c r="O139">
        <v>0</v>
      </c>
      <c r="Q139">
        <v>70.900000000000006</v>
      </c>
    </row>
    <row r="140" spans="1:17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 s="7" t="str">
        <f t="shared" si="2"/>
        <v>Valid</v>
      </c>
      <c r="O140">
        <v>0</v>
      </c>
      <c r="Q140">
        <v>59.1</v>
      </c>
    </row>
    <row r="141" spans="1:17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7" t="str">
        <f t="shared" si="2"/>
        <v>Valid</v>
      </c>
      <c r="O141">
        <v>0</v>
      </c>
      <c r="Q141">
        <v>62.4</v>
      </c>
    </row>
    <row r="142" spans="1:17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s="7" t="str">
        <f t="shared" si="2"/>
        <v>Valid</v>
      </c>
      <c r="O142">
        <v>0</v>
      </c>
      <c r="Q142">
        <v>49.6</v>
      </c>
    </row>
    <row r="143" spans="1:17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 s="7" t="str">
        <f t="shared" si="2"/>
        <v>Valid</v>
      </c>
      <c r="O143">
        <v>0</v>
      </c>
      <c r="P143">
        <v>9</v>
      </c>
      <c r="Q143">
        <v>80.599999999999994</v>
      </c>
    </row>
    <row r="144" spans="1:17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 s="7" t="str">
        <f t="shared" si="2"/>
        <v>Valid</v>
      </c>
      <c r="O144">
        <v>0</v>
      </c>
      <c r="Q144">
        <v>47.9</v>
      </c>
    </row>
    <row r="145" spans="1:17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 s="7" t="str">
        <f t="shared" si="2"/>
        <v>Valid</v>
      </c>
      <c r="O145">
        <v>0</v>
      </c>
      <c r="Q145">
        <v>54.8</v>
      </c>
    </row>
    <row r="146" spans="1:17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 s="7" t="str">
        <f t="shared" si="2"/>
        <v>Valid</v>
      </c>
      <c r="O146">
        <v>0</v>
      </c>
      <c r="Q146">
        <v>53.9</v>
      </c>
    </row>
    <row r="147" spans="1:17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 s="7" t="str">
        <f t="shared" si="2"/>
        <v>Valid</v>
      </c>
      <c r="O147">
        <v>0</v>
      </c>
      <c r="Q147">
        <v>41.3</v>
      </c>
    </row>
    <row r="148" spans="1:17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 s="7" t="str">
        <f t="shared" si="2"/>
        <v>Valid</v>
      </c>
      <c r="O148">
        <v>0</v>
      </c>
      <c r="Q148">
        <v>38.9</v>
      </c>
    </row>
    <row r="149" spans="1:17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 s="7" t="str">
        <f t="shared" si="2"/>
        <v>Valid</v>
      </c>
      <c r="O149">
        <v>0</v>
      </c>
      <c r="Q149">
        <v>63.6</v>
      </c>
    </row>
    <row r="150" spans="1:17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 s="7" t="str">
        <f t="shared" si="2"/>
        <v>Valid</v>
      </c>
      <c r="O150">
        <v>0</v>
      </c>
      <c r="P150">
        <v>9</v>
      </c>
      <c r="Q150">
        <v>76.599999999999994</v>
      </c>
    </row>
    <row r="151" spans="1:17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s="7" t="str">
        <f t="shared" si="2"/>
        <v>Valid</v>
      </c>
      <c r="O151">
        <v>0</v>
      </c>
      <c r="Q151">
        <v>67.599999999999994</v>
      </c>
    </row>
    <row r="152" spans="1:17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 s="7" t="str">
        <f t="shared" si="2"/>
        <v>Valid</v>
      </c>
      <c r="O152">
        <v>0</v>
      </c>
      <c r="Q152">
        <v>43.1</v>
      </c>
    </row>
    <row r="153" spans="1:17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 s="7" t="str">
        <f t="shared" si="2"/>
        <v>Valid</v>
      </c>
      <c r="O153">
        <v>0</v>
      </c>
      <c r="Q153">
        <v>58.3</v>
      </c>
    </row>
    <row r="154" spans="1:17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 s="7" t="str">
        <f t="shared" si="2"/>
        <v>Valid</v>
      </c>
      <c r="O154">
        <v>0</v>
      </c>
      <c r="Q154">
        <v>69.8</v>
      </c>
    </row>
    <row r="155" spans="1:17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 s="7" t="str">
        <f t="shared" si="2"/>
        <v>Valid</v>
      </c>
      <c r="O155">
        <v>0</v>
      </c>
    </row>
    <row r="156" spans="1:17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 s="7" t="str">
        <f t="shared" si="2"/>
        <v>Valid</v>
      </c>
      <c r="O156">
        <v>0</v>
      </c>
      <c r="Q156">
        <v>41.9</v>
      </c>
    </row>
    <row r="157" spans="1:17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s="7" t="str">
        <f t="shared" si="2"/>
        <v>Valid</v>
      </c>
      <c r="O157">
        <v>0</v>
      </c>
      <c r="Q157">
        <v>33.1</v>
      </c>
    </row>
    <row r="158" spans="1:17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s="7" t="str">
        <f t="shared" si="2"/>
        <v>Valid</v>
      </c>
      <c r="O158">
        <v>0</v>
      </c>
      <c r="Q158">
        <v>58.6</v>
      </c>
    </row>
    <row r="159" spans="1:17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7" t="str">
        <f t="shared" si="2"/>
        <v>Valid</v>
      </c>
      <c r="O159">
        <v>0</v>
      </c>
      <c r="Q159">
        <v>55.7</v>
      </c>
    </row>
    <row r="160" spans="1:17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 s="7" t="str">
        <f t="shared" si="2"/>
        <v>Invalid</v>
      </c>
      <c r="O160">
        <v>0</v>
      </c>
      <c r="Q160">
        <v>64.900000000000006</v>
      </c>
    </row>
    <row r="161" spans="1:17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s="7" t="str">
        <f t="shared" si="2"/>
        <v>Valid</v>
      </c>
      <c r="O161">
        <v>0</v>
      </c>
      <c r="Q161">
        <v>72.3</v>
      </c>
    </row>
    <row r="162" spans="1:17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s="7" t="str">
        <f t="shared" si="2"/>
        <v>Valid</v>
      </c>
      <c r="O162">
        <v>0</v>
      </c>
      <c r="Q162">
        <v>42.1</v>
      </c>
    </row>
    <row r="163" spans="1:17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s="7" t="str">
        <f t="shared" si="2"/>
        <v>Valid</v>
      </c>
      <c r="O163">
        <v>0</v>
      </c>
    </row>
    <row r="164" spans="1:17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 s="7" t="str">
        <f t="shared" si="2"/>
        <v>Valid</v>
      </c>
      <c r="O164">
        <v>0</v>
      </c>
      <c r="Q164">
        <v>64.8</v>
      </c>
    </row>
    <row r="165" spans="1:17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7" t="str">
        <f t="shared" si="2"/>
        <v>Valid</v>
      </c>
      <c r="O165">
        <v>0</v>
      </c>
      <c r="Q165">
        <v>72.099999999999994</v>
      </c>
    </row>
    <row r="166" spans="1:17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s="7" t="str">
        <f t="shared" si="2"/>
        <v>Valid</v>
      </c>
      <c r="O166">
        <v>0</v>
      </c>
      <c r="Q166">
        <v>50.6</v>
      </c>
    </row>
    <row r="167" spans="1:17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 s="7" t="str">
        <f t="shared" si="2"/>
        <v>Valid</v>
      </c>
      <c r="O167">
        <v>0</v>
      </c>
      <c r="P167">
        <v>9</v>
      </c>
      <c r="Q167">
        <v>43.4</v>
      </c>
    </row>
    <row r="168" spans="1:17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 s="7" t="str">
        <f t="shared" si="2"/>
        <v>Valid</v>
      </c>
      <c r="O168">
        <v>0</v>
      </c>
      <c r="Q168">
        <v>59.7</v>
      </c>
    </row>
    <row r="169" spans="1:17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 s="7" t="str">
        <f t="shared" si="2"/>
        <v>Valid</v>
      </c>
      <c r="O169">
        <v>0</v>
      </c>
    </row>
    <row r="170" spans="1:17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7" t="str">
        <f t="shared" si="2"/>
        <v>Valid</v>
      </c>
      <c r="O170">
        <v>0</v>
      </c>
      <c r="Q170">
        <v>54.5</v>
      </c>
    </row>
    <row r="171" spans="1:17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 s="7" t="str">
        <f t="shared" si="2"/>
        <v>Valid</v>
      </c>
      <c r="O171">
        <v>0</v>
      </c>
      <c r="Q171">
        <v>71.099999999999994</v>
      </c>
    </row>
    <row r="172" spans="1:17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 s="7" t="str">
        <f t="shared" si="2"/>
        <v>Valid</v>
      </c>
      <c r="O172">
        <v>0</v>
      </c>
      <c r="Q172">
        <v>44.4</v>
      </c>
    </row>
    <row r="173" spans="1:17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 s="7" t="str">
        <f t="shared" si="2"/>
        <v>Valid</v>
      </c>
      <c r="O173">
        <v>0</v>
      </c>
      <c r="Q173">
        <v>61.7</v>
      </c>
    </row>
    <row r="174" spans="1:17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s="7" t="str">
        <f t="shared" si="2"/>
        <v>Valid</v>
      </c>
      <c r="O174">
        <v>0</v>
      </c>
      <c r="Q174">
        <v>81.3</v>
      </c>
    </row>
    <row r="175" spans="1:17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s="7" t="str">
        <f t="shared" si="2"/>
        <v>Invalid</v>
      </c>
      <c r="O175">
        <v>0</v>
      </c>
      <c r="Q175">
        <v>28.7</v>
      </c>
    </row>
    <row r="176" spans="1:17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7" t="str">
        <f t="shared" si="2"/>
        <v>Valid</v>
      </c>
      <c r="O176">
        <v>0</v>
      </c>
      <c r="Q176">
        <v>53</v>
      </c>
    </row>
    <row r="177" spans="1:17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 s="7" t="str">
        <f t="shared" si="2"/>
        <v>Valid</v>
      </c>
      <c r="O177">
        <v>0</v>
      </c>
      <c r="Q177">
        <v>54.9</v>
      </c>
    </row>
    <row r="178" spans="1:17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 s="7" t="str">
        <f t="shared" si="2"/>
        <v>Valid</v>
      </c>
      <c r="O178">
        <v>0</v>
      </c>
      <c r="Q178">
        <v>58.2</v>
      </c>
    </row>
    <row r="179" spans="1:17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s="7" t="str">
        <f t="shared" si="2"/>
        <v>Valid</v>
      </c>
      <c r="O179">
        <v>0</v>
      </c>
      <c r="Q179">
        <v>80.599999999999994</v>
      </c>
    </row>
    <row r="180" spans="1:17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 s="7" t="str">
        <f t="shared" si="2"/>
        <v>Valid</v>
      </c>
      <c r="O180">
        <v>0</v>
      </c>
      <c r="Q180">
        <v>38.4</v>
      </c>
    </row>
    <row r="181" spans="1:17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 s="7" t="str">
        <f t="shared" si="2"/>
        <v>Valid</v>
      </c>
      <c r="O181">
        <v>0</v>
      </c>
      <c r="Q181">
        <v>56.1</v>
      </c>
    </row>
    <row r="182" spans="1:17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s="7" t="str">
        <f t="shared" si="2"/>
        <v>Valid</v>
      </c>
      <c r="O182">
        <v>0</v>
      </c>
      <c r="Q182">
        <v>62.6</v>
      </c>
    </row>
    <row r="183" spans="1:17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7" t="str">
        <f t="shared" si="2"/>
        <v>Valid</v>
      </c>
      <c r="O183">
        <v>0</v>
      </c>
      <c r="Q183">
        <v>36.299999999999997</v>
      </c>
    </row>
    <row r="184" spans="1:17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 s="7" t="str">
        <f t="shared" si="2"/>
        <v>Valid</v>
      </c>
      <c r="O184">
        <v>0</v>
      </c>
      <c r="Q184">
        <v>52.1</v>
      </c>
    </row>
    <row r="185" spans="1:17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 s="7" t="str">
        <f t="shared" si="2"/>
        <v>Valid</v>
      </c>
      <c r="O185">
        <v>0</v>
      </c>
      <c r="Q185">
        <v>45.1</v>
      </c>
    </row>
    <row r="186" spans="1:17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s="7" t="str">
        <f t="shared" si="2"/>
        <v>Valid</v>
      </c>
      <c r="O186">
        <v>0</v>
      </c>
      <c r="Q186">
        <v>67.5</v>
      </c>
    </row>
    <row r="187" spans="1:17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 s="7" t="str">
        <f t="shared" si="2"/>
        <v>Valid</v>
      </c>
      <c r="O187">
        <v>0</v>
      </c>
      <c r="Q187">
        <v>80</v>
      </c>
    </row>
    <row r="188" spans="1:17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7" t="str">
        <f t="shared" si="2"/>
        <v>Valid</v>
      </c>
      <c r="O188">
        <v>0</v>
      </c>
      <c r="Q188">
        <v>56.4</v>
      </c>
    </row>
    <row r="189" spans="1:17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7" t="str">
        <f t="shared" si="2"/>
        <v>Valid</v>
      </c>
      <c r="O189">
        <v>0</v>
      </c>
      <c r="Q189">
        <v>55.4</v>
      </c>
    </row>
    <row r="190" spans="1:17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 s="7" t="str">
        <f t="shared" si="2"/>
        <v>Valid</v>
      </c>
      <c r="O190">
        <v>0</v>
      </c>
      <c r="Q190">
        <v>67.900000000000006</v>
      </c>
    </row>
    <row r="191" spans="1:17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 s="7" t="str">
        <f t="shared" si="2"/>
        <v>Valid</v>
      </c>
      <c r="O191">
        <v>0</v>
      </c>
      <c r="Q191">
        <v>62.5</v>
      </c>
    </row>
    <row r="192" spans="1:17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 s="7" t="str">
        <f t="shared" si="2"/>
        <v>Valid</v>
      </c>
      <c r="O192">
        <v>0</v>
      </c>
      <c r="Q192">
        <v>54.3</v>
      </c>
    </row>
    <row r="193" spans="1:17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s="7" t="str">
        <f t="shared" si="2"/>
        <v>Valid</v>
      </c>
      <c r="O193">
        <v>0</v>
      </c>
      <c r="Q193">
        <v>37.5</v>
      </c>
    </row>
    <row r="194" spans="1:17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s="7" t="str">
        <f t="shared" si="2"/>
        <v>Valid</v>
      </c>
      <c r="O194">
        <v>0</v>
      </c>
      <c r="Q194">
        <v>52.6</v>
      </c>
    </row>
    <row r="195" spans="1:17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 s="7" t="str">
        <f t="shared" ref="N195:N258" si="3">IF(OR(M195=0,M195=1),"Valid","Invalid")</f>
        <v>Valid</v>
      </c>
      <c r="O195">
        <v>0</v>
      </c>
      <c r="Q195">
        <v>46.1</v>
      </c>
    </row>
    <row r="196" spans="1:17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 s="7" t="str">
        <f t="shared" si="3"/>
        <v>Valid</v>
      </c>
      <c r="O196">
        <v>0</v>
      </c>
      <c r="Q196">
        <v>54.7</v>
      </c>
    </row>
    <row r="197" spans="1:17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s="7" t="str">
        <f t="shared" si="3"/>
        <v>Valid</v>
      </c>
      <c r="O197">
        <v>0</v>
      </c>
      <c r="Q197">
        <v>74.2</v>
      </c>
    </row>
    <row r="198" spans="1:17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 s="7" t="str">
        <f t="shared" si="3"/>
        <v>Invalid</v>
      </c>
      <c r="O198">
        <v>0</v>
      </c>
      <c r="P198">
        <v>6</v>
      </c>
      <c r="Q198">
        <v>64.7</v>
      </c>
    </row>
    <row r="199" spans="1:17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s="7" t="str">
        <f t="shared" si="3"/>
        <v>Valid</v>
      </c>
      <c r="O199">
        <v>0</v>
      </c>
      <c r="Q199">
        <v>65.900000000000006</v>
      </c>
    </row>
    <row r="200" spans="1:17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 s="7" t="str">
        <f t="shared" si="3"/>
        <v>Valid</v>
      </c>
      <c r="O200">
        <v>0</v>
      </c>
      <c r="Q200">
        <v>64</v>
      </c>
    </row>
    <row r="201" spans="1:17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 s="7" t="str">
        <f t="shared" si="3"/>
        <v>Valid</v>
      </c>
      <c r="O201">
        <v>0</v>
      </c>
      <c r="Q201">
        <v>57.2</v>
      </c>
    </row>
    <row r="202" spans="1:17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 s="7" t="str">
        <f t="shared" si="3"/>
        <v>Valid</v>
      </c>
      <c r="O202">
        <v>0</v>
      </c>
      <c r="Q202">
        <v>80.5</v>
      </c>
    </row>
    <row r="203" spans="1:17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s="7" t="str">
        <f t="shared" si="3"/>
        <v>Valid</v>
      </c>
      <c r="O203">
        <v>0</v>
      </c>
      <c r="Q203">
        <v>53.9</v>
      </c>
    </row>
    <row r="204" spans="1:17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 s="7" t="str">
        <f t="shared" si="3"/>
        <v>Valid</v>
      </c>
      <c r="O204">
        <v>0</v>
      </c>
      <c r="Q204">
        <v>77.5</v>
      </c>
    </row>
    <row r="205" spans="1:17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7" t="str">
        <f t="shared" si="3"/>
        <v>Valid</v>
      </c>
      <c r="O205">
        <v>0</v>
      </c>
      <c r="Q205">
        <v>84.2</v>
      </c>
    </row>
    <row r="206" spans="1:17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 s="7" t="str">
        <f t="shared" si="3"/>
        <v>Valid</v>
      </c>
      <c r="O206">
        <v>0</v>
      </c>
      <c r="Q206">
        <v>54.9</v>
      </c>
    </row>
    <row r="207" spans="1:17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s="7" t="str">
        <f t="shared" si="3"/>
        <v>Valid</v>
      </c>
      <c r="O207">
        <v>0</v>
      </c>
      <c r="Q207">
        <v>69.3</v>
      </c>
    </row>
    <row r="208" spans="1:17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 s="7" t="str">
        <f t="shared" si="3"/>
        <v>Invalid</v>
      </c>
      <c r="O208">
        <v>0</v>
      </c>
      <c r="Q208">
        <v>42.3</v>
      </c>
    </row>
    <row r="209" spans="1:17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 s="7" t="str">
        <f t="shared" si="3"/>
        <v>Valid</v>
      </c>
      <c r="O209">
        <v>0</v>
      </c>
      <c r="Q209">
        <v>69.599999999999994</v>
      </c>
    </row>
    <row r="210" spans="1:17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7" t="str">
        <f t="shared" si="3"/>
        <v>Valid</v>
      </c>
      <c r="O210">
        <v>0</v>
      </c>
      <c r="Q210">
        <v>40.700000000000003</v>
      </c>
    </row>
    <row r="211" spans="1:17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 s="7" t="str">
        <f t="shared" si="3"/>
        <v>Valid</v>
      </c>
      <c r="O211">
        <v>0</v>
      </c>
      <c r="Q211">
        <v>54</v>
      </c>
    </row>
    <row r="212" spans="1:17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 s="7" t="str">
        <f t="shared" si="3"/>
        <v>Valid</v>
      </c>
      <c r="O212">
        <v>0</v>
      </c>
      <c r="P212">
        <v>5</v>
      </c>
      <c r="Q212">
        <v>46.3</v>
      </c>
    </row>
    <row r="213" spans="1:17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 s="7" t="str">
        <f t="shared" si="3"/>
        <v>Valid</v>
      </c>
      <c r="O213">
        <v>0</v>
      </c>
      <c r="Q213">
        <v>64.2</v>
      </c>
    </row>
    <row r="214" spans="1:17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s="7" t="str">
        <f t="shared" si="3"/>
        <v>Valid</v>
      </c>
      <c r="O214">
        <v>0</v>
      </c>
      <c r="Q214">
        <v>75.2</v>
      </c>
    </row>
    <row r="215" spans="1:17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 s="7" t="str">
        <f t="shared" si="3"/>
        <v>Valid</v>
      </c>
      <c r="O215">
        <v>0</v>
      </c>
      <c r="Q215">
        <v>60.9</v>
      </c>
    </row>
    <row r="216" spans="1:17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 s="7" t="str">
        <f t="shared" si="3"/>
        <v>Valid</v>
      </c>
      <c r="O216">
        <v>0</v>
      </c>
      <c r="Q216">
        <v>62.1</v>
      </c>
    </row>
    <row r="217" spans="1:17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s="7" t="str">
        <f t="shared" si="3"/>
        <v>Valid</v>
      </c>
      <c r="O217">
        <v>0</v>
      </c>
      <c r="Q217">
        <v>45.4</v>
      </c>
    </row>
    <row r="218" spans="1:17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s="7" t="str">
        <f t="shared" si="3"/>
        <v>Valid</v>
      </c>
      <c r="O218">
        <v>0</v>
      </c>
      <c r="Q218">
        <v>53.3</v>
      </c>
    </row>
    <row r="219" spans="1:17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 s="7" t="str">
        <f t="shared" si="3"/>
        <v>Valid</v>
      </c>
      <c r="O219">
        <v>0</v>
      </c>
    </row>
    <row r="220" spans="1:17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 s="7" t="str">
        <f t="shared" si="3"/>
        <v>Valid</v>
      </c>
      <c r="O220">
        <v>0</v>
      </c>
      <c r="Q220">
        <v>38.200000000000003</v>
      </c>
    </row>
    <row r="221" spans="1:17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 s="7" t="str">
        <f t="shared" si="3"/>
        <v>Invalid</v>
      </c>
      <c r="O221">
        <v>0</v>
      </c>
      <c r="Q221">
        <v>59</v>
      </c>
    </row>
    <row r="222" spans="1:17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 s="7" t="str">
        <f t="shared" si="3"/>
        <v>Valid</v>
      </c>
      <c r="O222">
        <v>0</v>
      </c>
      <c r="Q222">
        <v>80.599999999999994</v>
      </c>
    </row>
    <row r="223" spans="1:17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 s="7" t="str">
        <f t="shared" si="3"/>
        <v>Valid</v>
      </c>
      <c r="O223">
        <v>0</v>
      </c>
      <c r="Q223">
        <v>67</v>
      </c>
    </row>
    <row r="224" spans="1:17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 s="7" t="str">
        <f t="shared" si="3"/>
        <v>Valid</v>
      </c>
      <c r="O224">
        <v>0</v>
      </c>
      <c r="Q224">
        <v>72.099999999999994</v>
      </c>
    </row>
    <row r="225" spans="1:17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s="7" t="str">
        <f t="shared" si="3"/>
        <v>Valid</v>
      </c>
      <c r="O225">
        <v>0</v>
      </c>
      <c r="Q225">
        <v>74.099999999999994</v>
      </c>
    </row>
    <row r="226" spans="1:17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s="7" t="str">
        <f t="shared" si="3"/>
        <v>Valid</v>
      </c>
      <c r="O226">
        <v>0</v>
      </c>
      <c r="Q226">
        <v>84.8</v>
      </c>
    </row>
    <row r="227" spans="1:17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 s="7" t="str">
        <f t="shared" si="3"/>
        <v>Valid</v>
      </c>
      <c r="O227">
        <v>0</v>
      </c>
      <c r="Q227">
        <v>33</v>
      </c>
    </row>
    <row r="228" spans="1:17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s="7" t="str">
        <f t="shared" si="3"/>
        <v>Valid</v>
      </c>
      <c r="O228">
        <v>0</v>
      </c>
      <c r="Q228">
        <v>52.5</v>
      </c>
    </row>
    <row r="229" spans="1:17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s="7" t="str">
        <f t="shared" si="3"/>
        <v>Valid</v>
      </c>
      <c r="O229">
        <v>0</v>
      </c>
      <c r="Q229">
        <v>66.900000000000006</v>
      </c>
    </row>
    <row r="230" spans="1:17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 s="7" t="str">
        <f t="shared" si="3"/>
        <v>Valid</v>
      </c>
      <c r="O230">
        <v>0</v>
      </c>
      <c r="Q230">
        <v>32.700000000000003</v>
      </c>
    </row>
    <row r="231" spans="1:17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 s="7" t="str">
        <f t="shared" si="3"/>
        <v>Valid</v>
      </c>
      <c r="O231">
        <v>0</v>
      </c>
      <c r="Q231">
        <v>70.599999999999994</v>
      </c>
    </row>
    <row r="232" spans="1:17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s="7" t="str">
        <f t="shared" si="3"/>
        <v>Valid</v>
      </c>
      <c r="O232">
        <v>0</v>
      </c>
      <c r="Q232">
        <v>69.400000000000006</v>
      </c>
    </row>
    <row r="233" spans="1:17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 s="7" t="str">
        <f t="shared" si="3"/>
        <v>Valid</v>
      </c>
      <c r="O233">
        <v>0</v>
      </c>
      <c r="Q233">
        <v>56.1</v>
      </c>
    </row>
    <row r="234" spans="1:17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s="7" t="str">
        <f t="shared" si="3"/>
        <v>Valid</v>
      </c>
      <c r="O234">
        <v>0</v>
      </c>
      <c r="Q234">
        <v>55.8</v>
      </c>
    </row>
    <row r="235" spans="1:17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s="7" t="str">
        <f t="shared" si="3"/>
        <v>Valid</v>
      </c>
      <c r="O235">
        <v>0</v>
      </c>
      <c r="Q235">
        <v>49.3</v>
      </c>
    </row>
    <row r="236" spans="1:17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s="7" t="str">
        <f t="shared" si="3"/>
        <v>Valid</v>
      </c>
      <c r="O236">
        <v>0</v>
      </c>
      <c r="Q236">
        <v>71.8</v>
      </c>
    </row>
    <row r="237" spans="1:17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 s="7" t="str">
        <f t="shared" si="3"/>
        <v>Invalid</v>
      </c>
      <c r="O237">
        <v>0</v>
      </c>
      <c r="Q237">
        <v>39.700000000000003</v>
      </c>
    </row>
    <row r="238" spans="1:17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s="7" t="str">
        <f t="shared" si="3"/>
        <v>Valid</v>
      </c>
      <c r="O238">
        <v>0</v>
      </c>
      <c r="Q238">
        <v>45.4</v>
      </c>
    </row>
    <row r="239" spans="1:17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 s="7" t="str">
        <f t="shared" si="3"/>
        <v>Valid</v>
      </c>
      <c r="O239">
        <v>0</v>
      </c>
      <c r="Q239">
        <v>69.900000000000006</v>
      </c>
    </row>
    <row r="240" spans="1:17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 s="7" t="str">
        <f t="shared" si="3"/>
        <v>Valid</v>
      </c>
      <c r="O240">
        <v>0</v>
      </c>
      <c r="Q240">
        <v>56.1</v>
      </c>
    </row>
    <row r="241" spans="1:17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 s="7" t="str">
        <f t="shared" si="3"/>
        <v>Valid</v>
      </c>
      <c r="O241">
        <v>0</v>
      </c>
      <c r="Q241">
        <v>45.9</v>
      </c>
    </row>
    <row r="242" spans="1:17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s="7" t="str">
        <f t="shared" si="3"/>
        <v>Valid</v>
      </c>
      <c r="O242">
        <v>0</v>
      </c>
      <c r="Q242">
        <v>65.8</v>
      </c>
    </row>
    <row r="243" spans="1:17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 s="7" t="str">
        <f t="shared" si="3"/>
        <v>Valid</v>
      </c>
      <c r="O243">
        <v>0</v>
      </c>
      <c r="Q243">
        <v>48.2</v>
      </c>
    </row>
    <row r="244" spans="1:17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 s="7" t="str">
        <f t="shared" si="3"/>
        <v>Valid</v>
      </c>
      <c r="O244">
        <v>0</v>
      </c>
      <c r="Q244">
        <v>81.099999999999994</v>
      </c>
    </row>
    <row r="245" spans="1:17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 s="7" t="str">
        <f t="shared" si="3"/>
        <v>Valid</v>
      </c>
      <c r="O245">
        <v>0</v>
      </c>
      <c r="Q245">
        <v>53.2</v>
      </c>
    </row>
    <row r="246" spans="1:17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 s="7" t="str">
        <f t="shared" si="3"/>
        <v>Valid</v>
      </c>
      <c r="O246">
        <v>0</v>
      </c>
      <c r="Q246">
        <v>57.7</v>
      </c>
    </row>
    <row r="247" spans="1:17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 s="7" t="str">
        <f t="shared" si="3"/>
        <v>Valid</v>
      </c>
      <c r="O247">
        <v>0</v>
      </c>
      <c r="Q247">
        <v>78.900000000000006</v>
      </c>
    </row>
    <row r="248" spans="1:17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7" t="str">
        <f t="shared" si="3"/>
        <v>Valid</v>
      </c>
      <c r="O248">
        <v>0</v>
      </c>
      <c r="Q248">
        <v>55.7</v>
      </c>
    </row>
    <row r="249" spans="1:17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s="7" t="str">
        <f t="shared" si="3"/>
        <v>Valid</v>
      </c>
      <c r="O249">
        <v>0</v>
      </c>
      <c r="Q249">
        <v>52.3</v>
      </c>
    </row>
    <row r="250" spans="1:17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 s="7" t="str">
        <f t="shared" si="3"/>
        <v>Valid</v>
      </c>
      <c r="O250">
        <v>0</v>
      </c>
      <c r="Q250">
        <v>51.5</v>
      </c>
    </row>
    <row r="251" spans="1:17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 s="7" t="str">
        <f t="shared" si="3"/>
        <v>Valid</v>
      </c>
      <c r="O251">
        <v>0</v>
      </c>
      <c r="Q251">
        <v>70.8</v>
      </c>
    </row>
    <row r="252" spans="1:17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 s="7" t="str">
        <f t="shared" si="3"/>
        <v>Valid</v>
      </c>
      <c r="O252">
        <v>0</v>
      </c>
      <c r="P252">
        <v>10</v>
      </c>
      <c r="Q252">
        <v>39</v>
      </c>
    </row>
    <row r="253" spans="1:17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s="7" t="str">
        <f t="shared" si="3"/>
        <v>Valid</v>
      </c>
      <c r="O253">
        <v>0</v>
      </c>
      <c r="Q253">
        <v>61.6</v>
      </c>
    </row>
    <row r="254" spans="1:17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 s="7" t="str">
        <f t="shared" si="3"/>
        <v>Valid</v>
      </c>
      <c r="O254">
        <v>0</v>
      </c>
      <c r="Q254">
        <v>46.8</v>
      </c>
    </row>
    <row r="255" spans="1:17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 s="7" t="str">
        <f t="shared" si="3"/>
        <v>Valid</v>
      </c>
      <c r="O255">
        <v>0</v>
      </c>
      <c r="Q255">
        <v>58.5</v>
      </c>
    </row>
    <row r="256" spans="1:17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s="7" t="str">
        <f t="shared" si="3"/>
        <v>Valid</v>
      </c>
      <c r="O256">
        <v>0</v>
      </c>
      <c r="Q256">
        <v>70.900000000000006</v>
      </c>
    </row>
    <row r="257" spans="1:17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 s="7" t="str">
        <f t="shared" si="3"/>
        <v>Valid</v>
      </c>
      <c r="O257">
        <v>0</v>
      </c>
      <c r="Q257">
        <v>48.4</v>
      </c>
    </row>
    <row r="258" spans="1:17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 s="7" t="str">
        <f t="shared" si="3"/>
        <v>Valid</v>
      </c>
      <c r="O258">
        <v>0</v>
      </c>
      <c r="Q258">
        <v>58</v>
      </c>
    </row>
    <row r="259" spans="1:17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7" t="str">
        <f t="shared" ref="N259:N322" si="4">IF(OR(M259=0,M259=1),"Valid","Invalid")</f>
        <v>Valid</v>
      </c>
      <c r="O259">
        <v>0</v>
      </c>
      <c r="Q259">
        <v>61.6</v>
      </c>
    </row>
    <row r="260" spans="1:17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s="7" t="str">
        <f t="shared" si="4"/>
        <v>Valid</v>
      </c>
      <c r="O260">
        <v>0</v>
      </c>
      <c r="Q260">
        <v>43.2</v>
      </c>
    </row>
    <row r="261" spans="1:17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 s="7" t="str">
        <f t="shared" si="4"/>
        <v>Valid</v>
      </c>
      <c r="O261">
        <v>0</v>
      </c>
      <c r="Q261">
        <v>53.3</v>
      </c>
    </row>
    <row r="262" spans="1:17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s="7" t="str">
        <f t="shared" si="4"/>
        <v>Valid</v>
      </c>
      <c r="O262">
        <v>0</v>
      </c>
      <c r="Q262">
        <v>33.9</v>
      </c>
    </row>
    <row r="263" spans="1:17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 s="7" t="str">
        <f t="shared" si="4"/>
        <v>Valid</v>
      </c>
      <c r="O263">
        <v>0</v>
      </c>
      <c r="Q263">
        <v>35.4</v>
      </c>
    </row>
    <row r="264" spans="1:17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s="7" t="str">
        <f t="shared" si="4"/>
        <v>Valid</v>
      </c>
      <c r="O264">
        <v>0</v>
      </c>
      <c r="Q264">
        <v>45</v>
      </c>
    </row>
    <row r="265" spans="1:17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 s="7" t="str">
        <f t="shared" si="4"/>
        <v>Valid</v>
      </c>
      <c r="O265">
        <v>0</v>
      </c>
      <c r="Q265">
        <v>86.5</v>
      </c>
    </row>
    <row r="266" spans="1:17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s="7" t="str">
        <f t="shared" si="4"/>
        <v>Valid</v>
      </c>
      <c r="O266">
        <v>0</v>
      </c>
      <c r="Q266">
        <v>58.1</v>
      </c>
    </row>
    <row r="267" spans="1:17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 s="7" t="str">
        <f t="shared" si="4"/>
        <v>Valid</v>
      </c>
      <c r="O267">
        <v>0</v>
      </c>
      <c r="Q267">
        <v>36.1</v>
      </c>
    </row>
    <row r="268" spans="1:17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s="7" t="str">
        <f t="shared" si="4"/>
        <v>Valid</v>
      </c>
      <c r="O268">
        <v>0</v>
      </c>
      <c r="Q268">
        <v>62.8</v>
      </c>
    </row>
    <row r="269" spans="1:17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s="7" t="str">
        <f t="shared" si="4"/>
        <v>Valid</v>
      </c>
      <c r="O269">
        <v>0</v>
      </c>
      <c r="Q269">
        <v>54.2</v>
      </c>
    </row>
    <row r="270" spans="1:17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s="7" t="str">
        <f t="shared" si="4"/>
        <v>Valid</v>
      </c>
      <c r="O270">
        <v>0</v>
      </c>
      <c r="Q270">
        <v>50</v>
      </c>
    </row>
    <row r="271" spans="1:17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 s="7" t="str">
        <f t="shared" si="4"/>
        <v>Valid</v>
      </c>
      <c r="O271">
        <v>0</v>
      </c>
      <c r="Q271">
        <v>62</v>
      </c>
    </row>
    <row r="272" spans="1:17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 s="7" t="str">
        <f t="shared" si="4"/>
        <v>Valid</v>
      </c>
      <c r="O272">
        <v>0</v>
      </c>
      <c r="Q272">
        <v>29.3</v>
      </c>
    </row>
    <row r="273" spans="1:17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 s="7" t="str">
        <f t="shared" si="4"/>
        <v>Valid</v>
      </c>
      <c r="O273">
        <v>0</v>
      </c>
      <c r="Q273">
        <v>67.900000000000006</v>
      </c>
    </row>
    <row r="274" spans="1:17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 s="7" t="str">
        <f t="shared" si="4"/>
        <v>Valid</v>
      </c>
      <c r="O274">
        <v>0</v>
      </c>
      <c r="Q274">
        <v>67.599999999999994</v>
      </c>
    </row>
    <row r="275" spans="1:17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s="7" t="str">
        <f t="shared" si="4"/>
        <v>Valid</v>
      </c>
      <c r="O275">
        <v>0</v>
      </c>
      <c r="Q275">
        <v>67.400000000000006</v>
      </c>
    </row>
    <row r="276" spans="1:17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 s="7" t="str">
        <f t="shared" si="4"/>
        <v>Invalid</v>
      </c>
      <c r="O276">
        <v>0</v>
      </c>
      <c r="Q276">
        <v>53</v>
      </c>
    </row>
    <row r="277" spans="1:17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s="7" t="str">
        <f t="shared" si="4"/>
        <v>Valid</v>
      </c>
      <c r="O277">
        <v>0</v>
      </c>
      <c r="Q277">
        <v>65.5</v>
      </c>
    </row>
    <row r="278" spans="1:17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 s="7" t="str">
        <f t="shared" si="4"/>
        <v>Valid</v>
      </c>
      <c r="O278">
        <v>0</v>
      </c>
      <c r="Q278">
        <v>49.6</v>
      </c>
    </row>
    <row r="279" spans="1:17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 s="7" t="str">
        <f t="shared" si="4"/>
        <v>Valid</v>
      </c>
      <c r="O279">
        <v>0</v>
      </c>
      <c r="Q279">
        <v>74.5</v>
      </c>
    </row>
    <row r="280" spans="1:17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 s="7" t="str">
        <f t="shared" si="4"/>
        <v>Valid</v>
      </c>
      <c r="O280">
        <v>0</v>
      </c>
      <c r="Q280">
        <v>46.9</v>
      </c>
    </row>
    <row r="281" spans="1:17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s="7" t="str">
        <f t="shared" si="4"/>
        <v>Valid</v>
      </c>
      <c r="O281">
        <v>0</v>
      </c>
      <c r="Q281">
        <v>87.1</v>
      </c>
    </row>
    <row r="282" spans="1:17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 s="7" t="str">
        <f t="shared" si="4"/>
        <v>Valid</v>
      </c>
      <c r="O282">
        <v>0</v>
      </c>
      <c r="Q282">
        <v>56</v>
      </c>
    </row>
    <row r="283" spans="1:17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 s="7" t="str">
        <f t="shared" si="4"/>
        <v>Valid</v>
      </c>
      <c r="O283">
        <v>0</v>
      </c>
      <c r="Q283">
        <v>61.7</v>
      </c>
    </row>
    <row r="284" spans="1:17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 s="7" t="str">
        <f t="shared" si="4"/>
        <v>Valid</v>
      </c>
      <c r="O284">
        <v>0</v>
      </c>
      <c r="Q284">
        <v>70.5</v>
      </c>
    </row>
    <row r="285" spans="1:17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 s="7" t="str">
        <f t="shared" si="4"/>
        <v>Valid</v>
      </c>
      <c r="O285">
        <v>0</v>
      </c>
      <c r="Q285">
        <v>33.4</v>
      </c>
    </row>
    <row r="286" spans="1:17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s="7" t="str">
        <f t="shared" si="4"/>
        <v>Valid</v>
      </c>
      <c r="O286">
        <v>0</v>
      </c>
      <c r="Q286">
        <v>57.5</v>
      </c>
    </row>
    <row r="287" spans="1:17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 s="7" t="str">
        <f t="shared" si="4"/>
        <v>Valid</v>
      </c>
      <c r="O287">
        <v>0</v>
      </c>
      <c r="Q287">
        <v>85.7</v>
      </c>
    </row>
    <row r="288" spans="1:17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 s="7" t="str">
        <f t="shared" si="4"/>
        <v>Valid</v>
      </c>
      <c r="O288">
        <v>0</v>
      </c>
      <c r="Q288">
        <v>41.9</v>
      </c>
    </row>
    <row r="289" spans="1:17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 s="7" t="str">
        <f t="shared" si="4"/>
        <v>Valid</v>
      </c>
      <c r="O289">
        <v>0</v>
      </c>
      <c r="Q289">
        <v>70.2</v>
      </c>
    </row>
    <row r="290" spans="1:17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 s="7" t="str">
        <f t="shared" si="4"/>
        <v>Valid</v>
      </c>
      <c r="O290">
        <v>0</v>
      </c>
      <c r="Q290">
        <v>42.6</v>
      </c>
    </row>
    <row r="291" spans="1:17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 s="7" t="str">
        <f t="shared" si="4"/>
        <v>Invalid</v>
      </c>
      <c r="O291">
        <v>0</v>
      </c>
      <c r="Q291">
        <v>30.4</v>
      </c>
    </row>
    <row r="292" spans="1:17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 s="7" t="str">
        <f t="shared" si="4"/>
        <v>Valid</v>
      </c>
      <c r="O292">
        <v>0</v>
      </c>
      <c r="Q292">
        <v>63.7</v>
      </c>
    </row>
    <row r="293" spans="1:17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s="7" t="str">
        <f t="shared" si="4"/>
        <v>Valid</v>
      </c>
      <c r="O293">
        <v>0</v>
      </c>
      <c r="Q293">
        <v>42.7</v>
      </c>
    </row>
    <row r="294" spans="1:17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s="7" t="str">
        <f t="shared" si="4"/>
        <v>Valid</v>
      </c>
      <c r="O294">
        <v>0</v>
      </c>
      <c r="Q294">
        <v>74.3</v>
      </c>
    </row>
    <row r="295" spans="1:17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 s="7" t="str">
        <f t="shared" si="4"/>
        <v>Valid</v>
      </c>
      <c r="O295">
        <v>0</v>
      </c>
      <c r="Q295">
        <v>40.6</v>
      </c>
    </row>
    <row r="296" spans="1:17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s="7" t="str">
        <f t="shared" si="4"/>
        <v>Valid</v>
      </c>
      <c r="O296">
        <v>0</v>
      </c>
      <c r="Q296">
        <v>67</v>
      </c>
    </row>
    <row r="297" spans="1:17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s="7" t="str">
        <f t="shared" si="4"/>
        <v>Valid</v>
      </c>
      <c r="O297">
        <v>0</v>
      </c>
      <c r="Q297">
        <v>51</v>
      </c>
    </row>
    <row r="298" spans="1:17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 s="7" t="str">
        <f t="shared" si="4"/>
        <v>Valid</v>
      </c>
      <c r="O298">
        <v>0</v>
      </c>
      <c r="Q298">
        <v>54.8</v>
      </c>
    </row>
    <row r="299" spans="1:17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s="7" t="str">
        <f t="shared" si="4"/>
        <v>Valid</v>
      </c>
      <c r="O299">
        <v>0</v>
      </c>
      <c r="Q299">
        <v>40.799999999999997</v>
      </c>
    </row>
    <row r="300" spans="1:17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7" t="str">
        <f t="shared" si="4"/>
        <v>Valid</v>
      </c>
      <c r="O300">
        <v>0</v>
      </c>
      <c r="Q300">
        <v>48.8</v>
      </c>
    </row>
    <row r="301" spans="1:17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 s="7" t="str">
        <f t="shared" si="4"/>
        <v>Valid</v>
      </c>
      <c r="O301">
        <v>0</v>
      </c>
      <c r="P301">
        <v>6</v>
      </c>
      <c r="Q301">
        <v>88.9</v>
      </c>
    </row>
    <row r="302" spans="1:17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 s="7" t="str">
        <f t="shared" si="4"/>
        <v>Valid</v>
      </c>
      <c r="O302">
        <v>0</v>
      </c>
      <c r="Q302">
        <v>60.5</v>
      </c>
    </row>
    <row r="303" spans="1:17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 s="7" t="str">
        <f t="shared" si="4"/>
        <v>Valid</v>
      </c>
      <c r="O303">
        <v>0</v>
      </c>
      <c r="Q303">
        <v>63.6</v>
      </c>
    </row>
    <row r="304" spans="1:17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 s="7" t="str">
        <f t="shared" si="4"/>
        <v>Valid</v>
      </c>
      <c r="O304">
        <v>0</v>
      </c>
      <c r="P304">
        <v>17</v>
      </c>
      <c r="Q304">
        <v>58.4</v>
      </c>
    </row>
    <row r="305" spans="1:17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s="7" t="str">
        <f t="shared" si="4"/>
        <v>Valid</v>
      </c>
      <c r="O305">
        <v>0</v>
      </c>
      <c r="Q305">
        <v>52.7</v>
      </c>
    </row>
    <row r="306" spans="1:17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 s="7" t="str">
        <f t="shared" si="4"/>
        <v>Invalid</v>
      </c>
      <c r="O306">
        <v>0</v>
      </c>
      <c r="Q306">
        <v>48.9</v>
      </c>
    </row>
    <row r="307" spans="1:17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7" t="str">
        <f t="shared" si="4"/>
        <v>Valid</v>
      </c>
      <c r="O307">
        <v>0</v>
      </c>
      <c r="Q307">
        <v>79.7</v>
      </c>
    </row>
    <row r="308" spans="1:17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 s="7" t="str">
        <f t="shared" si="4"/>
        <v>Valid</v>
      </c>
      <c r="O308">
        <v>0</v>
      </c>
      <c r="Q308">
        <v>44.9</v>
      </c>
    </row>
    <row r="309" spans="1:17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 s="7" t="str">
        <f t="shared" si="4"/>
        <v>Valid</v>
      </c>
      <c r="O309">
        <v>0</v>
      </c>
      <c r="P309">
        <v>10</v>
      </c>
      <c r="Q309">
        <v>38.799999999999997</v>
      </c>
    </row>
    <row r="310" spans="1:17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s="7" t="str">
        <f t="shared" si="4"/>
        <v>Valid</v>
      </c>
      <c r="O310">
        <v>0</v>
      </c>
      <c r="Q310">
        <v>70</v>
      </c>
    </row>
    <row r="311" spans="1:17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 s="7" t="str">
        <f t="shared" si="4"/>
        <v>Valid</v>
      </c>
      <c r="O311">
        <v>0</v>
      </c>
      <c r="Q311">
        <v>77.7</v>
      </c>
    </row>
    <row r="312" spans="1:17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s="7" t="str">
        <f t="shared" si="4"/>
        <v>Valid</v>
      </c>
      <c r="O312">
        <v>0</v>
      </c>
      <c r="Q312">
        <v>71.2</v>
      </c>
    </row>
    <row r="313" spans="1:17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 s="7" t="str">
        <f t="shared" si="4"/>
        <v>Valid</v>
      </c>
      <c r="O313">
        <v>0</v>
      </c>
      <c r="Q313">
        <v>43.8</v>
      </c>
    </row>
    <row r="314" spans="1:17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 s="7" t="str">
        <f t="shared" si="4"/>
        <v>Valid</v>
      </c>
      <c r="O314">
        <v>0</v>
      </c>
      <c r="Q314">
        <v>50.9</v>
      </c>
    </row>
    <row r="315" spans="1:17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s="7" t="str">
        <f t="shared" si="4"/>
        <v>Valid</v>
      </c>
      <c r="O315">
        <v>0</v>
      </c>
      <c r="Q315">
        <v>58.5</v>
      </c>
    </row>
    <row r="316" spans="1:17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 s="7" t="str">
        <f t="shared" si="4"/>
        <v>Valid</v>
      </c>
      <c r="O316">
        <v>0</v>
      </c>
      <c r="Q316">
        <v>53.6</v>
      </c>
    </row>
    <row r="317" spans="1:17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s="7" t="str">
        <f t="shared" si="4"/>
        <v>Valid</v>
      </c>
      <c r="O317">
        <v>0</v>
      </c>
      <c r="Q317">
        <v>54.9</v>
      </c>
    </row>
    <row r="318" spans="1:17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s="7" t="str">
        <f t="shared" si="4"/>
        <v>Valid</v>
      </c>
      <c r="O318">
        <v>0</v>
      </c>
      <c r="Q318">
        <v>57.3</v>
      </c>
    </row>
    <row r="319" spans="1:17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 s="7" t="str">
        <f t="shared" si="4"/>
        <v>Valid</v>
      </c>
      <c r="O319">
        <v>0</v>
      </c>
      <c r="Q319">
        <v>52.1</v>
      </c>
    </row>
    <row r="320" spans="1:17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 s="7" t="str">
        <f t="shared" si="4"/>
        <v>Valid</v>
      </c>
      <c r="O320">
        <v>0</v>
      </c>
      <c r="Q320">
        <v>80</v>
      </c>
    </row>
    <row r="321" spans="1:17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 s="7" t="str">
        <f t="shared" si="4"/>
        <v>Valid</v>
      </c>
      <c r="O321">
        <v>0</v>
      </c>
      <c r="Q321">
        <v>39.299999999999997</v>
      </c>
    </row>
    <row r="322" spans="1:17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s="7" t="str">
        <f t="shared" si="4"/>
        <v>Valid</v>
      </c>
      <c r="O322">
        <v>0</v>
      </c>
      <c r="Q322">
        <v>45.7</v>
      </c>
    </row>
    <row r="323" spans="1:17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 s="7" t="str">
        <f t="shared" ref="N323:N386" si="5">IF(OR(M323=0,M323=1),"Valid","Invalid")</f>
        <v>Invalid</v>
      </c>
      <c r="O323">
        <v>0</v>
      </c>
      <c r="Q323">
        <v>61.2</v>
      </c>
    </row>
    <row r="324" spans="1:17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 s="7" t="str">
        <f t="shared" si="5"/>
        <v>Valid</v>
      </c>
      <c r="O324">
        <v>0</v>
      </c>
      <c r="Q324">
        <v>66.2</v>
      </c>
    </row>
    <row r="325" spans="1:17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 s="7" t="str">
        <f t="shared" si="5"/>
        <v>Valid</v>
      </c>
      <c r="O325">
        <v>0</v>
      </c>
      <c r="Q325">
        <v>61.3</v>
      </c>
    </row>
    <row r="326" spans="1:17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 s="7" t="str">
        <f t="shared" si="5"/>
        <v>Valid</v>
      </c>
      <c r="O326">
        <v>0</v>
      </c>
      <c r="Q326">
        <v>72.2</v>
      </c>
    </row>
    <row r="327" spans="1:17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 s="7" t="str">
        <f t="shared" si="5"/>
        <v>Valid</v>
      </c>
      <c r="O327">
        <v>0</v>
      </c>
      <c r="Q327">
        <v>84</v>
      </c>
    </row>
    <row r="328" spans="1:17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s="7" t="str">
        <f t="shared" si="5"/>
        <v>Valid</v>
      </c>
      <c r="O328">
        <v>0</v>
      </c>
      <c r="Q328">
        <v>59.8</v>
      </c>
    </row>
    <row r="329" spans="1:17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 s="7" t="str">
        <f t="shared" si="5"/>
        <v>Valid</v>
      </c>
      <c r="O329">
        <v>0</v>
      </c>
      <c r="Q329">
        <v>64.900000000000006</v>
      </c>
    </row>
    <row r="330" spans="1:17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 s="7" t="str">
        <f t="shared" si="5"/>
        <v>Valid</v>
      </c>
      <c r="O330">
        <v>0</v>
      </c>
      <c r="Q330">
        <v>66.8</v>
      </c>
    </row>
    <row r="331" spans="1:17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s="7" t="str">
        <f t="shared" si="5"/>
        <v>Valid</v>
      </c>
      <c r="O331">
        <v>0</v>
      </c>
      <c r="Q331">
        <v>70.900000000000006</v>
      </c>
    </row>
    <row r="332" spans="1:17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 s="7" t="str">
        <f t="shared" si="5"/>
        <v>Valid</v>
      </c>
      <c r="O332">
        <v>0</v>
      </c>
      <c r="P332">
        <v>14</v>
      </c>
      <c r="Q332">
        <v>68.8</v>
      </c>
    </row>
    <row r="333" spans="1:17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 s="7" t="str">
        <f t="shared" si="5"/>
        <v>Valid</v>
      </c>
      <c r="O333">
        <v>0</v>
      </c>
      <c r="Q333">
        <v>72.400000000000006</v>
      </c>
    </row>
    <row r="334" spans="1:17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7" t="str">
        <f t="shared" si="5"/>
        <v>Valid</v>
      </c>
      <c r="O334">
        <v>0</v>
      </c>
      <c r="Q334">
        <v>63.3</v>
      </c>
    </row>
    <row r="335" spans="1:17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 s="7" t="str">
        <f t="shared" si="5"/>
        <v>Valid</v>
      </c>
      <c r="O335">
        <v>0</v>
      </c>
      <c r="Q335">
        <v>30.8</v>
      </c>
    </row>
    <row r="336" spans="1:17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 s="7" t="str">
        <f t="shared" si="5"/>
        <v>Valid</v>
      </c>
      <c r="O336">
        <v>0</v>
      </c>
      <c r="P336">
        <v>9</v>
      </c>
      <c r="Q336">
        <v>44.2</v>
      </c>
    </row>
    <row r="337" spans="1:17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 s="7" t="str">
        <f t="shared" si="5"/>
        <v>Valid</v>
      </c>
      <c r="O337">
        <v>0</v>
      </c>
      <c r="P337">
        <v>10</v>
      </c>
      <c r="Q337">
        <v>56.2</v>
      </c>
    </row>
    <row r="338" spans="1:17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s="7" t="str">
        <f t="shared" si="5"/>
        <v>Valid</v>
      </c>
      <c r="O338">
        <v>0</v>
      </c>
      <c r="Q338">
        <v>40.4</v>
      </c>
    </row>
    <row r="339" spans="1:17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 s="7" t="str">
        <f t="shared" si="5"/>
        <v>Valid</v>
      </c>
      <c r="O339">
        <v>0</v>
      </c>
      <c r="Q339">
        <v>68.099999999999994</v>
      </c>
    </row>
    <row r="340" spans="1:17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 s="7" t="str">
        <f t="shared" si="5"/>
        <v>Valid</v>
      </c>
      <c r="O340">
        <v>0</v>
      </c>
      <c r="Q340">
        <v>86.3</v>
      </c>
    </row>
    <row r="341" spans="1:17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 s="7" t="str">
        <f t="shared" si="5"/>
        <v>Valid</v>
      </c>
      <c r="O341">
        <v>0</v>
      </c>
      <c r="Q341">
        <v>42.9</v>
      </c>
    </row>
    <row r="342" spans="1:17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s="7" t="str">
        <f t="shared" si="5"/>
        <v>Valid</v>
      </c>
      <c r="O342">
        <v>0</v>
      </c>
      <c r="Q342">
        <v>61.4</v>
      </c>
    </row>
    <row r="343" spans="1:17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 s="7" t="str">
        <f t="shared" si="5"/>
        <v>Valid</v>
      </c>
      <c r="O343">
        <v>0</v>
      </c>
      <c r="Q343">
        <v>73.3</v>
      </c>
    </row>
    <row r="344" spans="1:17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 s="7" t="str">
        <f t="shared" si="5"/>
        <v>Valid</v>
      </c>
      <c r="O344">
        <v>0</v>
      </c>
      <c r="Q344">
        <v>59.4</v>
      </c>
    </row>
    <row r="345" spans="1:17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s="7" t="str">
        <f t="shared" si="5"/>
        <v>Valid</v>
      </c>
      <c r="O345">
        <v>0</v>
      </c>
      <c r="Q345">
        <v>35.200000000000003</v>
      </c>
    </row>
    <row r="346" spans="1:17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 s="7" t="str">
        <f t="shared" si="5"/>
        <v>Valid</v>
      </c>
      <c r="O346">
        <v>0</v>
      </c>
      <c r="Q346">
        <v>55.3</v>
      </c>
    </row>
    <row r="347" spans="1:17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s="7" t="str">
        <f t="shared" si="5"/>
        <v>Valid</v>
      </c>
      <c r="O347">
        <v>0</v>
      </c>
      <c r="Q347">
        <v>37.5</v>
      </c>
    </row>
    <row r="348" spans="1:17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 s="7" t="str">
        <f t="shared" si="5"/>
        <v>Valid</v>
      </c>
      <c r="O348">
        <v>0</v>
      </c>
      <c r="Q348">
        <v>66.400000000000006</v>
      </c>
    </row>
    <row r="349" spans="1:17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 s="7" t="str">
        <f t="shared" si="5"/>
        <v>Valid</v>
      </c>
      <c r="O349">
        <v>0</v>
      </c>
      <c r="Q349">
        <v>61.9</v>
      </c>
    </row>
    <row r="350" spans="1:17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s="7" t="str">
        <f t="shared" si="5"/>
        <v>Valid</v>
      </c>
      <c r="O350">
        <v>0</v>
      </c>
      <c r="Q350">
        <v>56</v>
      </c>
    </row>
    <row r="351" spans="1:17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s="7" t="str">
        <f t="shared" si="5"/>
        <v>Valid</v>
      </c>
      <c r="O351">
        <v>0</v>
      </c>
      <c r="Q351">
        <v>55.5</v>
      </c>
    </row>
    <row r="352" spans="1:17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 s="7" t="str">
        <f t="shared" si="5"/>
        <v>Valid</v>
      </c>
      <c r="O352">
        <v>0</v>
      </c>
      <c r="Q352">
        <v>37.200000000000003</v>
      </c>
    </row>
    <row r="353" spans="1:17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 s="7" t="str">
        <f t="shared" si="5"/>
        <v>Valid</v>
      </c>
      <c r="O353">
        <v>0</v>
      </c>
      <c r="Q353">
        <v>70.5</v>
      </c>
    </row>
    <row r="354" spans="1:17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s="7" t="str">
        <f t="shared" si="5"/>
        <v>Valid</v>
      </c>
      <c r="O354">
        <v>0</v>
      </c>
      <c r="Q354">
        <v>61.2</v>
      </c>
    </row>
    <row r="355" spans="1:17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 s="7" t="str">
        <f t="shared" si="5"/>
        <v>Valid</v>
      </c>
      <c r="O355">
        <v>0</v>
      </c>
      <c r="Q355">
        <v>64.599999999999994</v>
      </c>
    </row>
    <row r="356" spans="1:17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 s="7" t="str">
        <f t="shared" si="5"/>
        <v>Valid</v>
      </c>
      <c r="O356">
        <v>0</v>
      </c>
      <c r="Q356">
        <v>91.7</v>
      </c>
    </row>
    <row r="357" spans="1:17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s="7" t="str">
        <f t="shared" si="5"/>
        <v>Valid</v>
      </c>
      <c r="O357">
        <v>0</v>
      </c>
      <c r="Q357">
        <v>46</v>
      </c>
    </row>
    <row r="358" spans="1:17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s="7" t="str">
        <f t="shared" si="5"/>
        <v>Valid</v>
      </c>
      <c r="O358">
        <v>0</v>
      </c>
      <c r="Q358">
        <v>50.8</v>
      </c>
    </row>
    <row r="359" spans="1:17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 s="7" t="str">
        <f t="shared" si="5"/>
        <v>Valid</v>
      </c>
      <c r="O359">
        <v>0</v>
      </c>
      <c r="Q359">
        <v>52.8</v>
      </c>
    </row>
    <row r="360" spans="1:17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 s="7" t="str">
        <f t="shared" si="5"/>
        <v>Valid</v>
      </c>
      <c r="O360">
        <v>0</v>
      </c>
      <c r="Q360">
        <v>63</v>
      </c>
    </row>
    <row r="361" spans="1:17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s="7" t="str">
        <f t="shared" si="5"/>
        <v>Valid</v>
      </c>
      <c r="O361">
        <v>0</v>
      </c>
      <c r="Q361">
        <v>28.4</v>
      </c>
    </row>
    <row r="362" spans="1:17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 s="7" t="str">
        <f t="shared" si="5"/>
        <v>Valid</v>
      </c>
      <c r="O362">
        <v>0</v>
      </c>
      <c r="Q362">
        <v>65.599999999999994</v>
      </c>
    </row>
    <row r="363" spans="1:17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 s="7" t="str">
        <f t="shared" si="5"/>
        <v>Valid</v>
      </c>
      <c r="O363">
        <v>0</v>
      </c>
      <c r="Q363">
        <v>54.7</v>
      </c>
    </row>
    <row r="364" spans="1:17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s="7" t="str">
        <f t="shared" si="5"/>
        <v>Valid</v>
      </c>
      <c r="O364">
        <v>0</v>
      </c>
      <c r="Q364">
        <v>36.1</v>
      </c>
    </row>
    <row r="365" spans="1:17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 s="7" t="str">
        <f t="shared" si="5"/>
        <v>Valid</v>
      </c>
      <c r="O365">
        <v>0</v>
      </c>
      <c r="Q365">
        <v>70.400000000000006</v>
      </c>
    </row>
    <row r="366" spans="1:17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 s="7" t="str">
        <f t="shared" si="5"/>
        <v>Valid</v>
      </c>
      <c r="O366">
        <v>0</v>
      </c>
      <c r="Q366">
        <v>56.4</v>
      </c>
    </row>
    <row r="367" spans="1:17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s="7" t="str">
        <f t="shared" si="5"/>
        <v>Valid</v>
      </c>
      <c r="O367">
        <v>0</v>
      </c>
      <c r="Q367">
        <v>79.2</v>
      </c>
    </row>
    <row r="368" spans="1:17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 s="7" t="str">
        <f t="shared" si="5"/>
        <v>Valid</v>
      </c>
      <c r="O368">
        <v>0</v>
      </c>
      <c r="Q368">
        <v>60.1</v>
      </c>
    </row>
    <row r="369" spans="1:17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s="7" t="str">
        <f t="shared" si="5"/>
        <v>Valid</v>
      </c>
      <c r="O369">
        <v>0</v>
      </c>
      <c r="Q369">
        <v>58</v>
      </c>
    </row>
    <row r="370" spans="1:17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 s="7" t="str">
        <f t="shared" si="5"/>
        <v>Valid</v>
      </c>
      <c r="O370">
        <v>0</v>
      </c>
      <c r="Q370">
        <v>69</v>
      </c>
    </row>
    <row r="371" spans="1:17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 s="7" t="str">
        <f t="shared" si="5"/>
        <v>Valid</v>
      </c>
      <c r="O371">
        <v>0</v>
      </c>
      <c r="Q371">
        <v>80.8</v>
      </c>
    </row>
    <row r="372" spans="1:17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s="7" t="str">
        <f t="shared" si="5"/>
        <v>Valid</v>
      </c>
      <c r="O372">
        <v>0</v>
      </c>
      <c r="Q372">
        <v>32.799999999999997</v>
      </c>
    </row>
    <row r="373" spans="1:17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 s="7" t="str">
        <f t="shared" si="5"/>
        <v>Valid</v>
      </c>
      <c r="O373">
        <v>0</v>
      </c>
      <c r="Q373">
        <v>56</v>
      </c>
    </row>
    <row r="374" spans="1:17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 s="7" t="str">
        <f t="shared" si="5"/>
        <v>Valid</v>
      </c>
      <c r="O374">
        <v>0</v>
      </c>
      <c r="Q374">
        <v>76.400000000000006</v>
      </c>
    </row>
    <row r="375" spans="1:17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 s="7" t="str">
        <f t="shared" si="5"/>
        <v>Valid</v>
      </c>
      <c r="O375">
        <v>0</v>
      </c>
      <c r="Q375">
        <v>28.5</v>
      </c>
    </row>
    <row r="376" spans="1:17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 s="7" t="str">
        <f t="shared" si="5"/>
        <v>Valid</v>
      </c>
      <c r="O376">
        <v>0</v>
      </c>
      <c r="Q376">
        <v>48.3</v>
      </c>
    </row>
    <row r="377" spans="1:17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 s="7" t="str">
        <f t="shared" si="5"/>
        <v>Valid</v>
      </c>
      <c r="O377">
        <v>0</v>
      </c>
      <c r="Q377">
        <v>43.4</v>
      </c>
    </row>
    <row r="378" spans="1:17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s="7" t="str">
        <f t="shared" si="5"/>
        <v>Valid</v>
      </c>
      <c r="O378">
        <v>0</v>
      </c>
      <c r="Q378">
        <v>43</v>
      </c>
    </row>
    <row r="379" spans="1:17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 s="7" t="str">
        <f t="shared" si="5"/>
        <v>Valid</v>
      </c>
      <c r="O379">
        <v>0</v>
      </c>
      <c r="Q379">
        <v>91.8</v>
      </c>
    </row>
    <row r="380" spans="1:17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 s="7" t="str">
        <f t="shared" si="5"/>
        <v>Valid</v>
      </c>
      <c r="O380">
        <v>0</v>
      </c>
      <c r="Q380">
        <v>69.3</v>
      </c>
    </row>
    <row r="381" spans="1:17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 s="7" t="str">
        <f t="shared" si="5"/>
        <v>Valid</v>
      </c>
      <c r="O381">
        <v>0</v>
      </c>
      <c r="Q381">
        <v>58.9</v>
      </c>
    </row>
    <row r="382" spans="1:17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 s="7" t="str">
        <f t="shared" si="5"/>
        <v>Valid</v>
      </c>
      <c r="O382">
        <v>0</v>
      </c>
      <c r="Q382">
        <v>76</v>
      </c>
    </row>
    <row r="383" spans="1:17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 s="7" t="str">
        <f t="shared" si="5"/>
        <v>Valid</v>
      </c>
      <c r="O383">
        <v>0</v>
      </c>
      <c r="Q383">
        <v>46</v>
      </c>
    </row>
    <row r="384" spans="1:17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 s="7" t="str">
        <f t="shared" si="5"/>
        <v>Valid</v>
      </c>
      <c r="O384">
        <v>0</v>
      </c>
      <c r="Q384">
        <v>54.1</v>
      </c>
    </row>
    <row r="385" spans="1:17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 s="7" t="str">
        <f t="shared" si="5"/>
        <v>Valid</v>
      </c>
      <c r="O385">
        <v>0</v>
      </c>
      <c r="Q385">
        <v>82.4</v>
      </c>
    </row>
    <row r="386" spans="1:17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 s="7" t="str">
        <f t="shared" si="5"/>
        <v>Valid</v>
      </c>
      <c r="O386">
        <v>0</v>
      </c>
      <c r="Q386">
        <v>71.900000000000006</v>
      </c>
    </row>
    <row r="387" spans="1:17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 s="7" t="str">
        <f t="shared" ref="N387:N450" si="6">IF(OR(M387=0,M387=1),"Valid","Invalid")</f>
        <v>Invalid</v>
      </c>
      <c r="O387">
        <v>0</v>
      </c>
      <c r="Q387">
        <v>38</v>
      </c>
    </row>
    <row r="388" spans="1:17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 s="7" t="str">
        <f t="shared" si="6"/>
        <v>Valid</v>
      </c>
      <c r="O388">
        <v>0</v>
      </c>
      <c r="Q388">
        <v>43.7</v>
      </c>
    </row>
    <row r="389" spans="1:17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 s="7" t="str">
        <f t="shared" si="6"/>
        <v>Valid</v>
      </c>
      <c r="O389">
        <v>0</v>
      </c>
      <c r="Q389">
        <v>32.200000000000003</v>
      </c>
    </row>
    <row r="390" spans="1:17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 s="7" t="str">
        <f t="shared" si="6"/>
        <v>Valid</v>
      </c>
      <c r="O390">
        <v>0</v>
      </c>
      <c r="Q390">
        <v>61</v>
      </c>
    </row>
    <row r="391" spans="1:17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 s="7" t="str">
        <f t="shared" si="6"/>
        <v>Valid</v>
      </c>
      <c r="O391">
        <v>0</v>
      </c>
      <c r="Q391">
        <v>49</v>
      </c>
    </row>
    <row r="392" spans="1:17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s="7" t="str">
        <f t="shared" si="6"/>
        <v>Valid</v>
      </c>
      <c r="O392">
        <v>0</v>
      </c>
      <c r="Q392">
        <v>48.1</v>
      </c>
    </row>
    <row r="393" spans="1:17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 s="7" t="str">
        <f t="shared" si="6"/>
        <v>Invalid</v>
      </c>
      <c r="O393">
        <v>0</v>
      </c>
      <c r="Q393">
        <v>46.3</v>
      </c>
    </row>
    <row r="394" spans="1:17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s="7" t="str">
        <f t="shared" si="6"/>
        <v>Valid</v>
      </c>
      <c r="O394">
        <v>0</v>
      </c>
      <c r="Q394">
        <v>64</v>
      </c>
    </row>
    <row r="395" spans="1:17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 s="7" t="str">
        <f t="shared" si="6"/>
        <v>Valid</v>
      </c>
      <c r="O395">
        <v>0</v>
      </c>
      <c r="Q395">
        <v>56.2</v>
      </c>
    </row>
    <row r="396" spans="1:17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 s="7" t="str">
        <f t="shared" si="6"/>
        <v>Valid</v>
      </c>
      <c r="O396">
        <v>0</v>
      </c>
      <c r="Q396">
        <v>77.5</v>
      </c>
    </row>
    <row r="397" spans="1:17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 s="7" t="str">
        <f t="shared" si="6"/>
        <v>Valid</v>
      </c>
      <c r="O397">
        <v>0</v>
      </c>
      <c r="Q397">
        <v>59.9</v>
      </c>
    </row>
    <row r="398" spans="1:17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 s="7" t="str">
        <f t="shared" si="6"/>
        <v>Valid</v>
      </c>
      <c r="O398">
        <v>0</v>
      </c>
      <c r="Q398">
        <v>63</v>
      </c>
    </row>
    <row r="399" spans="1:17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 s="7" t="str">
        <f t="shared" si="6"/>
        <v>Valid</v>
      </c>
      <c r="O399">
        <v>0</v>
      </c>
      <c r="Q399">
        <v>76.5</v>
      </c>
    </row>
    <row r="400" spans="1:17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 s="7" t="str">
        <f t="shared" si="6"/>
        <v>Valid</v>
      </c>
      <c r="O400">
        <v>0</v>
      </c>
      <c r="Q400">
        <v>39.700000000000003</v>
      </c>
    </row>
    <row r="401" spans="1:17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 s="7" t="str">
        <f t="shared" si="6"/>
        <v>Valid</v>
      </c>
      <c r="O401">
        <v>0</v>
      </c>
      <c r="Q401">
        <v>80.2</v>
      </c>
    </row>
    <row r="402" spans="1:17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 s="7" t="str">
        <f t="shared" si="6"/>
        <v>Valid</v>
      </c>
      <c r="O402">
        <v>0</v>
      </c>
      <c r="Q402">
        <v>72.2</v>
      </c>
    </row>
    <row r="403" spans="1:17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s="7" t="str">
        <f t="shared" si="6"/>
        <v>Valid</v>
      </c>
      <c r="O403">
        <v>0</v>
      </c>
      <c r="Q403">
        <v>56</v>
      </c>
    </row>
    <row r="404" spans="1:17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 s="7" t="str">
        <f t="shared" si="6"/>
        <v>Valid</v>
      </c>
      <c r="O404">
        <v>0</v>
      </c>
      <c r="Q404">
        <v>69.099999999999994</v>
      </c>
    </row>
    <row r="405" spans="1:17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 s="7" t="str">
        <f t="shared" si="6"/>
        <v>Valid</v>
      </c>
      <c r="O405">
        <v>0</v>
      </c>
      <c r="Q405">
        <v>70.599999999999994</v>
      </c>
    </row>
    <row r="406" spans="1:17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s="7" t="str">
        <f t="shared" si="6"/>
        <v>Valid</v>
      </c>
      <c r="O406">
        <v>0</v>
      </c>
      <c r="Q406">
        <v>57.9</v>
      </c>
    </row>
    <row r="407" spans="1:17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 s="7" t="str">
        <f t="shared" si="6"/>
        <v>Valid</v>
      </c>
      <c r="O407">
        <v>0</v>
      </c>
      <c r="Q407">
        <v>41.4</v>
      </c>
    </row>
    <row r="408" spans="1:17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 s="7" t="str">
        <f t="shared" si="6"/>
        <v>Valid</v>
      </c>
      <c r="O408">
        <v>0</v>
      </c>
      <c r="Q408">
        <v>60.9</v>
      </c>
    </row>
    <row r="409" spans="1:17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 s="7" t="str">
        <f t="shared" si="6"/>
        <v>Valid</v>
      </c>
      <c r="O409">
        <v>0</v>
      </c>
      <c r="Q409">
        <v>63.8</v>
      </c>
    </row>
    <row r="410" spans="1:17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 s="7" t="str">
        <f t="shared" si="6"/>
        <v>Valid</v>
      </c>
      <c r="O410">
        <v>0</v>
      </c>
      <c r="Q410">
        <v>79.2</v>
      </c>
    </row>
    <row r="411" spans="1:17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 s="7" t="str">
        <f t="shared" si="6"/>
        <v>Valid</v>
      </c>
      <c r="O411">
        <v>0</v>
      </c>
      <c r="Q411">
        <v>53.3</v>
      </c>
    </row>
    <row r="412" spans="1:17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 s="7" t="str">
        <f t="shared" si="6"/>
        <v>Valid</v>
      </c>
      <c r="O412">
        <v>0</v>
      </c>
      <c r="P412">
        <v>6</v>
      </c>
      <c r="Q412">
        <v>52.3</v>
      </c>
    </row>
    <row r="413" spans="1:17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 s="7" t="str">
        <f t="shared" si="6"/>
        <v>Valid</v>
      </c>
      <c r="O413">
        <v>0</v>
      </c>
      <c r="Q413">
        <v>62.4</v>
      </c>
    </row>
    <row r="414" spans="1:17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 s="7" t="str">
        <f t="shared" si="6"/>
        <v>Valid</v>
      </c>
      <c r="O414">
        <v>0</v>
      </c>
      <c r="Q414">
        <v>45.5</v>
      </c>
    </row>
    <row r="415" spans="1:17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 s="7" t="str">
        <f t="shared" si="6"/>
        <v>Valid</v>
      </c>
      <c r="O415">
        <v>0</v>
      </c>
      <c r="Q415">
        <v>72.599999999999994</v>
      </c>
    </row>
    <row r="416" spans="1:17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 s="7" t="str">
        <f t="shared" si="6"/>
        <v>Valid</v>
      </c>
      <c r="O416">
        <v>0</v>
      </c>
      <c r="Q416">
        <v>50.1</v>
      </c>
    </row>
    <row r="417" spans="1:17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 s="7" t="str">
        <f t="shared" si="6"/>
        <v>Invalid</v>
      </c>
      <c r="O417">
        <v>0</v>
      </c>
      <c r="Q417">
        <v>58.1</v>
      </c>
    </row>
    <row r="418" spans="1:17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 s="7" t="str">
        <f t="shared" si="6"/>
        <v>Valid</v>
      </c>
      <c r="O418">
        <v>0</v>
      </c>
      <c r="Q418">
        <v>42.9</v>
      </c>
    </row>
    <row r="419" spans="1:17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s="7" t="str">
        <f t="shared" si="6"/>
        <v>Valid</v>
      </c>
      <c r="O419">
        <v>0</v>
      </c>
      <c r="Q419">
        <v>69.7</v>
      </c>
    </row>
    <row r="420" spans="1:17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s="7" t="str">
        <f t="shared" si="6"/>
        <v>Valid</v>
      </c>
      <c r="O420">
        <v>0</v>
      </c>
      <c r="Q420">
        <v>63.3</v>
      </c>
    </row>
    <row r="421" spans="1:17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 s="7" t="str">
        <f t="shared" si="6"/>
        <v>Valid</v>
      </c>
      <c r="O421">
        <v>0</v>
      </c>
      <c r="Q421">
        <v>71.2</v>
      </c>
    </row>
    <row r="422" spans="1:17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 s="7" t="str">
        <f t="shared" si="6"/>
        <v>Valid</v>
      </c>
      <c r="O422">
        <v>0</v>
      </c>
      <c r="Q422">
        <v>39.1</v>
      </c>
    </row>
    <row r="423" spans="1:17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 s="7" t="str">
        <f t="shared" si="6"/>
        <v>Valid</v>
      </c>
      <c r="O423">
        <v>0</v>
      </c>
      <c r="Q423">
        <v>42.6</v>
      </c>
    </row>
    <row r="424" spans="1:17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s="7" t="str">
        <f t="shared" si="6"/>
        <v>Valid</v>
      </c>
      <c r="O424">
        <v>0</v>
      </c>
      <c r="Q424">
        <v>74.400000000000006</v>
      </c>
    </row>
    <row r="425" spans="1:17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s="7" t="str">
        <f t="shared" si="6"/>
        <v>Valid</v>
      </c>
      <c r="O425">
        <v>0</v>
      </c>
      <c r="Q425">
        <v>55.6</v>
      </c>
    </row>
    <row r="426" spans="1:17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s="7" t="str">
        <f t="shared" si="6"/>
        <v>Valid</v>
      </c>
      <c r="O426">
        <v>0</v>
      </c>
      <c r="Q426">
        <v>35.799999999999997</v>
      </c>
    </row>
    <row r="427" spans="1:17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 s="7" t="str">
        <f t="shared" si="6"/>
        <v>Valid</v>
      </c>
      <c r="O427">
        <v>0</v>
      </c>
      <c r="Q427">
        <v>28.2</v>
      </c>
    </row>
    <row r="428" spans="1:17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 s="7" t="str">
        <f t="shared" si="6"/>
        <v>Invalid</v>
      </c>
      <c r="O428">
        <v>0</v>
      </c>
      <c r="Q428">
        <v>44.4</v>
      </c>
    </row>
    <row r="429" spans="1:17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 s="7" t="str">
        <f t="shared" si="6"/>
        <v>Valid</v>
      </c>
      <c r="O429">
        <v>0</v>
      </c>
      <c r="Q429">
        <v>49.9</v>
      </c>
    </row>
    <row r="430" spans="1:17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s="7" t="str">
        <f t="shared" si="6"/>
        <v>Valid</v>
      </c>
      <c r="O430">
        <v>0</v>
      </c>
      <c r="Q430">
        <v>40.4</v>
      </c>
    </row>
    <row r="431" spans="1:17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s="7" t="str">
        <f t="shared" si="6"/>
        <v>Valid</v>
      </c>
      <c r="O431">
        <v>0</v>
      </c>
      <c r="Q431">
        <v>60.4</v>
      </c>
    </row>
    <row r="432" spans="1:17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 s="7" t="str">
        <f t="shared" si="6"/>
        <v>Valid</v>
      </c>
      <c r="O432">
        <v>0</v>
      </c>
      <c r="Q432">
        <v>52.4</v>
      </c>
    </row>
    <row r="433" spans="1:17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 s="7" t="str">
        <f t="shared" si="6"/>
        <v>Valid</v>
      </c>
      <c r="O433">
        <v>0</v>
      </c>
      <c r="Q433">
        <v>48.8</v>
      </c>
    </row>
    <row r="434" spans="1:17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s="7" t="str">
        <f t="shared" si="6"/>
        <v>Valid</v>
      </c>
      <c r="O434">
        <v>0</v>
      </c>
      <c r="Q434">
        <v>60.9</v>
      </c>
    </row>
    <row r="435" spans="1:17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s="7" t="str">
        <f t="shared" si="6"/>
        <v>Valid</v>
      </c>
      <c r="O435">
        <v>0</v>
      </c>
      <c r="Q435">
        <v>68.2</v>
      </c>
    </row>
    <row r="436" spans="1:17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 s="7" t="str">
        <f t="shared" si="6"/>
        <v>Valid</v>
      </c>
      <c r="O436">
        <v>0</v>
      </c>
      <c r="Q436">
        <v>65.599999999999994</v>
      </c>
    </row>
    <row r="437" spans="1:17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 s="7" t="str">
        <f t="shared" si="6"/>
        <v>Valid</v>
      </c>
      <c r="O437">
        <v>0</v>
      </c>
      <c r="Q437">
        <v>65.400000000000006</v>
      </c>
    </row>
    <row r="438" spans="1:17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s="7" t="str">
        <f t="shared" si="6"/>
        <v>Valid</v>
      </c>
      <c r="O438">
        <v>0</v>
      </c>
      <c r="Q438">
        <v>78.900000000000006</v>
      </c>
    </row>
    <row r="439" spans="1:17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 s="7" t="str">
        <f t="shared" si="6"/>
        <v>Valid</v>
      </c>
      <c r="O439">
        <v>0</v>
      </c>
      <c r="Q439">
        <v>78.3</v>
      </c>
    </row>
    <row r="440" spans="1:17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s="7" t="str">
        <f t="shared" si="6"/>
        <v>Valid</v>
      </c>
      <c r="O440">
        <v>0</v>
      </c>
      <c r="Q440">
        <v>49.2</v>
      </c>
    </row>
    <row r="441" spans="1:17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 s="7" t="str">
        <f t="shared" si="6"/>
        <v>Valid</v>
      </c>
      <c r="O441">
        <v>0</v>
      </c>
      <c r="P441">
        <v>9</v>
      </c>
      <c r="Q441">
        <v>32.200000000000003</v>
      </c>
    </row>
    <row r="442" spans="1:17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 s="7" t="str">
        <f t="shared" si="6"/>
        <v>Valid</v>
      </c>
      <c r="O442">
        <v>0</v>
      </c>
      <c r="Q442">
        <v>46.3</v>
      </c>
    </row>
    <row r="443" spans="1:17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 s="7" t="str">
        <f t="shared" si="6"/>
        <v>Valid</v>
      </c>
      <c r="O443">
        <v>0</v>
      </c>
      <c r="Q443">
        <v>55.7</v>
      </c>
    </row>
    <row r="444" spans="1:17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 s="7" t="str">
        <f t="shared" si="6"/>
        <v>Valid</v>
      </c>
      <c r="O444">
        <v>0</v>
      </c>
      <c r="Q444">
        <v>44.5</v>
      </c>
    </row>
    <row r="445" spans="1:17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 s="7" t="str">
        <f t="shared" si="6"/>
        <v>Valid</v>
      </c>
      <c r="O445">
        <v>0</v>
      </c>
      <c r="Q445">
        <v>47.9</v>
      </c>
    </row>
    <row r="446" spans="1:17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 s="7" t="str">
        <f t="shared" si="6"/>
        <v>Valid</v>
      </c>
      <c r="O446">
        <v>0</v>
      </c>
      <c r="Q446">
        <v>43.9</v>
      </c>
    </row>
    <row r="447" spans="1:17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 s="7" t="str">
        <f t="shared" si="6"/>
        <v>Valid</v>
      </c>
      <c r="O447">
        <v>0</v>
      </c>
      <c r="Q447">
        <v>67.7</v>
      </c>
    </row>
    <row r="448" spans="1:17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s="7" t="str">
        <f t="shared" si="6"/>
        <v>Valid</v>
      </c>
      <c r="O448">
        <v>0</v>
      </c>
      <c r="Q448">
        <v>43.7</v>
      </c>
    </row>
    <row r="449" spans="1:17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 s="7" t="str">
        <f t="shared" si="6"/>
        <v>Valid</v>
      </c>
      <c r="O449">
        <v>0</v>
      </c>
      <c r="Q449">
        <v>68.8</v>
      </c>
    </row>
    <row r="450" spans="1:17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 s="7" t="str">
        <f t="shared" si="6"/>
        <v>Valid</v>
      </c>
      <c r="O450">
        <v>0</v>
      </c>
      <c r="Q450">
        <v>59.2</v>
      </c>
    </row>
    <row r="451" spans="1:17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 s="7" t="str">
        <f t="shared" ref="N451:N514" si="7">IF(OR(M451=0,M451=1),"Valid","Invalid")</f>
        <v>Valid</v>
      </c>
      <c r="O451">
        <v>0</v>
      </c>
      <c r="Q451">
        <v>48.6</v>
      </c>
    </row>
    <row r="452" spans="1:17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 s="7" t="str">
        <f t="shared" si="7"/>
        <v>Valid</v>
      </c>
      <c r="O452">
        <v>0</v>
      </c>
      <c r="Q452">
        <v>56.9</v>
      </c>
    </row>
    <row r="453" spans="1:17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s="7" t="str">
        <f t="shared" si="7"/>
        <v>Valid</v>
      </c>
      <c r="O453">
        <v>0</v>
      </c>
      <c r="Q453">
        <v>55.8</v>
      </c>
    </row>
    <row r="454" spans="1:17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s="7" t="str">
        <f t="shared" si="7"/>
        <v>Valid</v>
      </c>
      <c r="O454">
        <v>0</v>
      </c>
      <c r="Q454">
        <v>63.3</v>
      </c>
    </row>
    <row r="455" spans="1:17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 s="7" t="str">
        <f t="shared" si="7"/>
        <v>Valid</v>
      </c>
      <c r="O455">
        <v>0</v>
      </c>
      <c r="Q455">
        <v>52.2</v>
      </c>
    </row>
    <row r="456" spans="1:17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s="7" t="str">
        <f t="shared" si="7"/>
        <v>Valid</v>
      </c>
      <c r="O456">
        <v>0</v>
      </c>
      <c r="Q456">
        <v>51.5</v>
      </c>
    </row>
    <row r="457" spans="1:17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s="7" t="str">
        <f t="shared" si="7"/>
        <v>Valid</v>
      </c>
      <c r="O457">
        <v>0</v>
      </c>
      <c r="Q457">
        <v>50.3</v>
      </c>
    </row>
    <row r="458" spans="1:17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 s="7" t="str">
        <f t="shared" si="7"/>
        <v>Valid</v>
      </c>
      <c r="O458">
        <v>0</v>
      </c>
      <c r="Q458">
        <v>35.4</v>
      </c>
    </row>
    <row r="459" spans="1:17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 s="7" t="str">
        <f t="shared" si="7"/>
        <v>Valid</v>
      </c>
      <c r="O459">
        <v>0</v>
      </c>
      <c r="Q459">
        <v>54.1</v>
      </c>
    </row>
    <row r="460" spans="1:17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 s="7" t="str">
        <f t="shared" si="7"/>
        <v>Valid</v>
      </c>
      <c r="O460">
        <v>0</v>
      </c>
      <c r="Q460">
        <v>56.2</v>
      </c>
    </row>
    <row r="461" spans="1:17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 s="7" t="str">
        <f t="shared" si="7"/>
        <v>Invalid</v>
      </c>
      <c r="O461">
        <v>0</v>
      </c>
      <c r="Q461">
        <v>43.7</v>
      </c>
    </row>
    <row r="462" spans="1:17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 s="7" t="str">
        <f t="shared" si="7"/>
        <v>Valid</v>
      </c>
      <c r="O462">
        <v>0</v>
      </c>
      <c r="Q462">
        <v>51.3</v>
      </c>
    </row>
    <row r="463" spans="1:17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 s="7" t="str">
        <f t="shared" si="7"/>
        <v>Valid</v>
      </c>
      <c r="O463">
        <v>0</v>
      </c>
      <c r="Q463">
        <v>50.5</v>
      </c>
    </row>
    <row r="464" spans="1:17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 s="7" t="str">
        <f t="shared" si="7"/>
        <v>Valid</v>
      </c>
      <c r="O464">
        <v>0</v>
      </c>
      <c r="Q464">
        <v>57.3</v>
      </c>
    </row>
    <row r="465" spans="1:17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 s="7" t="str">
        <f t="shared" si="7"/>
        <v>Valid</v>
      </c>
      <c r="O465">
        <v>0</v>
      </c>
      <c r="Q465">
        <v>58.4</v>
      </c>
    </row>
    <row r="466" spans="1:17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s="7" t="str">
        <f t="shared" si="7"/>
        <v>Valid</v>
      </c>
      <c r="O466">
        <v>0</v>
      </c>
      <c r="Q466">
        <v>56.5</v>
      </c>
    </row>
    <row r="467" spans="1:17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s="7" t="str">
        <f t="shared" si="7"/>
        <v>Valid</v>
      </c>
      <c r="O467">
        <v>0</v>
      </c>
      <c r="Q467">
        <v>69.599999999999994</v>
      </c>
    </row>
    <row r="468" spans="1:17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s="7" t="str">
        <f t="shared" si="7"/>
        <v>Valid</v>
      </c>
      <c r="O468">
        <v>0</v>
      </c>
      <c r="Q468">
        <v>6.2</v>
      </c>
    </row>
    <row r="469" spans="1:17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 s="7" t="str">
        <f t="shared" si="7"/>
        <v>Valid</v>
      </c>
      <c r="O469">
        <v>0</v>
      </c>
      <c r="Q469">
        <v>54.3</v>
      </c>
    </row>
    <row r="470" spans="1:17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s="7" t="str">
        <f t="shared" si="7"/>
        <v>Valid</v>
      </c>
      <c r="O470">
        <v>0</v>
      </c>
      <c r="Q470">
        <v>59.8</v>
      </c>
    </row>
    <row r="471" spans="1:17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s="7" t="str">
        <f t="shared" si="7"/>
        <v>Valid</v>
      </c>
      <c r="O471">
        <v>0</v>
      </c>
      <c r="Q471">
        <v>58.9</v>
      </c>
    </row>
    <row r="472" spans="1:17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 s="7" t="str">
        <f t="shared" si="7"/>
        <v>Valid</v>
      </c>
      <c r="O472">
        <v>0</v>
      </c>
      <c r="Q472">
        <v>52.9</v>
      </c>
    </row>
    <row r="473" spans="1:17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s="7" t="str">
        <f t="shared" si="7"/>
        <v>Valid</v>
      </c>
      <c r="O473">
        <v>0</v>
      </c>
      <c r="Q473">
        <v>67.8</v>
      </c>
    </row>
    <row r="474" spans="1:17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s="7" t="str">
        <f t="shared" si="7"/>
        <v>Valid</v>
      </c>
      <c r="O474">
        <v>0</v>
      </c>
      <c r="Q474">
        <v>48.7</v>
      </c>
    </row>
    <row r="475" spans="1:17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s="7" t="str">
        <f t="shared" si="7"/>
        <v>Valid</v>
      </c>
      <c r="O475">
        <v>0</v>
      </c>
      <c r="Q475">
        <v>59</v>
      </c>
    </row>
    <row r="476" spans="1:17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s="7" t="str">
        <f t="shared" si="7"/>
        <v>Valid</v>
      </c>
      <c r="O476">
        <v>0</v>
      </c>
      <c r="Q476">
        <v>63.2</v>
      </c>
    </row>
    <row r="477" spans="1:17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s="7" t="str">
        <f t="shared" si="7"/>
        <v>Valid</v>
      </c>
      <c r="O477">
        <v>0</v>
      </c>
      <c r="Q477">
        <v>68.7</v>
      </c>
    </row>
    <row r="478" spans="1:17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s="7" t="str">
        <f t="shared" si="7"/>
        <v>Valid</v>
      </c>
      <c r="O478">
        <v>0</v>
      </c>
      <c r="Q478">
        <v>52.1</v>
      </c>
    </row>
    <row r="479" spans="1:17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s="7" t="str">
        <f t="shared" si="7"/>
        <v>Valid</v>
      </c>
      <c r="O479">
        <v>0</v>
      </c>
      <c r="Q479">
        <v>56.5</v>
      </c>
    </row>
    <row r="480" spans="1:17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 s="7" t="str">
        <f t="shared" si="7"/>
        <v>Valid</v>
      </c>
      <c r="O480">
        <v>0</v>
      </c>
      <c r="Q480">
        <v>64.400000000000006</v>
      </c>
    </row>
    <row r="481" spans="1:17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 s="7" t="str">
        <f t="shared" si="7"/>
        <v>Valid</v>
      </c>
      <c r="O481">
        <v>0</v>
      </c>
      <c r="Q481">
        <v>65.900000000000006</v>
      </c>
    </row>
    <row r="482" spans="1:17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 s="7" t="str">
        <f t="shared" si="7"/>
        <v>Valid</v>
      </c>
      <c r="O482">
        <v>0</v>
      </c>
      <c r="Q482">
        <v>100</v>
      </c>
    </row>
    <row r="483" spans="1:17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 s="7" t="str">
        <f t="shared" si="7"/>
        <v>Valid</v>
      </c>
      <c r="O483">
        <v>0</v>
      </c>
      <c r="Q483">
        <v>50.4</v>
      </c>
    </row>
    <row r="484" spans="1:17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s="7" t="str">
        <f t="shared" si="7"/>
        <v>Valid</v>
      </c>
      <c r="O484">
        <v>0</v>
      </c>
      <c r="Q484">
        <v>41.5</v>
      </c>
    </row>
    <row r="485" spans="1:17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s="7" t="str">
        <f t="shared" si="7"/>
        <v>Valid</v>
      </c>
      <c r="O485">
        <v>0</v>
      </c>
      <c r="Q485">
        <v>86.2</v>
      </c>
    </row>
    <row r="486" spans="1:17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 s="7" t="str">
        <f t="shared" si="7"/>
        <v>Invalid</v>
      </c>
      <c r="O486">
        <v>0</v>
      </c>
      <c r="Q486">
        <v>50.8</v>
      </c>
    </row>
    <row r="487" spans="1:17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s="7" t="str">
        <f t="shared" si="7"/>
        <v>Valid</v>
      </c>
      <c r="O487">
        <v>0</v>
      </c>
      <c r="Q487">
        <v>50.9</v>
      </c>
    </row>
    <row r="488" spans="1:17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 s="7" t="str">
        <f t="shared" si="7"/>
        <v>Valid</v>
      </c>
      <c r="O488">
        <v>0</v>
      </c>
      <c r="Q488">
        <v>87.5</v>
      </c>
    </row>
    <row r="489" spans="1:17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s="7" t="str">
        <f t="shared" si="7"/>
        <v>Valid</v>
      </c>
      <c r="O489">
        <v>0</v>
      </c>
      <c r="Q489">
        <v>43.6</v>
      </c>
    </row>
    <row r="490" spans="1:17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s="7" t="str">
        <f t="shared" si="7"/>
        <v>Valid</v>
      </c>
      <c r="O490">
        <v>0</v>
      </c>
      <c r="Q490">
        <v>55.5</v>
      </c>
    </row>
    <row r="491" spans="1:17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s="7" t="str">
        <f t="shared" si="7"/>
        <v>Valid</v>
      </c>
      <c r="O491">
        <v>0</v>
      </c>
      <c r="Q491">
        <v>78.599999999999994</v>
      </c>
    </row>
    <row r="492" spans="1:17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 s="7" t="str">
        <f t="shared" si="7"/>
        <v>Valid</v>
      </c>
      <c r="O492">
        <v>0</v>
      </c>
      <c r="Q492">
        <v>44.3</v>
      </c>
    </row>
    <row r="493" spans="1:17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 s="7" t="str">
        <f t="shared" si="7"/>
        <v>Valid</v>
      </c>
      <c r="O493">
        <v>0</v>
      </c>
      <c r="Q493">
        <v>45.2</v>
      </c>
    </row>
    <row r="494" spans="1:17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 s="7" t="str">
        <f t="shared" si="7"/>
        <v>Invalid</v>
      </c>
      <c r="O494">
        <v>0</v>
      </c>
      <c r="Q494">
        <v>46.1</v>
      </c>
    </row>
    <row r="495" spans="1:17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 s="7" t="str">
        <f t="shared" si="7"/>
        <v>Valid</v>
      </c>
      <c r="O495">
        <v>0</v>
      </c>
      <c r="Q495">
        <v>49.6</v>
      </c>
    </row>
    <row r="496" spans="1:17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7" t="str">
        <f t="shared" si="7"/>
        <v>Valid</v>
      </c>
      <c r="O496">
        <v>0</v>
      </c>
      <c r="Q496">
        <v>70.5</v>
      </c>
    </row>
    <row r="497" spans="1:17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s="7" t="str">
        <f t="shared" si="7"/>
        <v>Valid</v>
      </c>
      <c r="O497">
        <v>0</v>
      </c>
      <c r="Q497">
        <v>60.8</v>
      </c>
    </row>
    <row r="498" spans="1:17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s="7" t="str">
        <f t="shared" si="7"/>
        <v>Valid</v>
      </c>
      <c r="O498">
        <v>0</v>
      </c>
      <c r="Q498">
        <v>50.5</v>
      </c>
    </row>
    <row r="499" spans="1:17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s="7" t="str">
        <f t="shared" si="7"/>
        <v>Valid</v>
      </c>
      <c r="O499">
        <v>0</v>
      </c>
      <c r="Q499">
        <v>54.9</v>
      </c>
    </row>
    <row r="500" spans="1:17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s="7" t="str">
        <f t="shared" si="7"/>
        <v>Valid</v>
      </c>
      <c r="O500">
        <v>0</v>
      </c>
      <c r="Q500">
        <v>29.9</v>
      </c>
    </row>
    <row r="501" spans="1:17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s="7" t="str">
        <f t="shared" si="7"/>
        <v>Valid</v>
      </c>
      <c r="O501">
        <v>0</v>
      </c>
      <c r="Q501">
        <v>48.3</v>
      </c>
    </row>
    <row r="502" spans="1:17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 s="7" t="str">
        <f t="shared" si="7"/>
        <v>Valid</v>
      </c>
      <c r="O502">
        <v>0</v>
      </c>
      <c r="P502">
        <v>7</v>
      </c>
      <c r="Q502">
        <v>41.3</v>
      </c>
    </row>
    <row r="503" spans="1:17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s="7" t="str">
        <f t="shared" si="7"/>
        <v>Valid</v>
      </c>
      <c r="O503">
        <v>0</v>
      </c>
      <c r="Q503">
        <v>61.4</v>
      </c>
    </row>
    <row r="504" spans="1:17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s="7" t="str">
        <f t="shared" si="7"/>
        <v>Valid</v>
      </c>
      <c r="O504">
        <v>0</v>
      </c>
      <c r="Q504">
        <v>57.8</v>
      </c>
    </row>
    <row r="505" spans="1:17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7" t="str">
        <f t="shared" si="7"/>
        <v>Valid</v>
      </c>
      <c r="O505">
        <v>0</v>
      </c>
      <c r="Q505">
        <v>78.2</v>
      </c>
    </row>
    <row r="506" spans="1:17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s="7" t="str">
        <f t="shared" si="7"/>
        <v>Valid</v>
      </c>
      <c r="O506">
        <v>0</v>
      </c>
      <c r="Q506">
        <v>63.8</v>
      </c>
    </row>
    <row r="507" spans="1:17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 s="7" t="str">
        <f t="shared" si="7"/>
        <v>Valid</v>
      </c>
      <c r="O507">
        <v>0</v>
      </c>
      <c r="Q507">
        <v>56.8</v>
      </c>
    </row>
    <row r="508" spans="1:17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 s="7" t="str">
        <f t="shared" si="7"/>
        <v>Valid</v>
      </c>
      <c r="O508">
        <v>0</v>
      </c>
      <c r="Q508">
        <v>59.6</v>
      </c>
    </row>
    <row r="509" spans="1:17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 s="7" t="str">
        <f t="shared" si="7"/>
        <v>Valid</v>
      </c>
      <c r="O509">
        <v>0</v>
      </c>
      <c r="Q509">
        <v>50</v>
      </c>
    </row>
    <row r="510" spans="1:17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 s="7" t="str">
        <f t="shared" si="7"/>
        <v>Valid</v>
      </c>
      <c r="O510">
        <v>0</v>
      </c>
      <c r="Q510">
        <v>35.700000000000003</v>
      </c>
    </row>
    <row r="511" spans="1:17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s="7" t="str">
        <f t="shared" si="7"/>
        <v>Invalid</v>
      </c>
      <c r="O511">
        <v>0</v>
      </c>
      <c r="Q511">
        <v>47.2</v>
      </c>
    </row>
    <row r="512" spans="1:17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 s="7" t="str">
        <f t="shared" si="7"/>
        <v>Valid</v>
      </c>
      <c r="O512">
        <v>0</v>
      </c>
      <c r="Q512">
        <v>56.9</v>
      </c>
    </row>
    <row r="513" spans="1:17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 s="7" t="str">
        <f t="shared" si="7"/>
        <v>Valid</v>
      </c>
      <c r="O513">
        <v>0</v>
      </c>
      <c r="Q513">
        <v>57.2</v>
      </c>
    </row>
    <row r="514" spans="1:17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 s="7" t="str">
        <f t="shared" si="7"/>
        <v>Valid</v>
      </c>
      <c r="O514">
        <v>0</v>
      </c>
      <c r="Q514">
        <v>31.4</v>
      </c>
    </row>
    <row r="515" spans="1:17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s="7" t="str">
        <f t="shared" ref="N515:N578" si="8">IF(OR(M515=0,M515=1),"Valid","Invalid")</f>
        <v>Valid</v>
      </c>
      <c r="O515">
        <v>0</v>
      </c>
      <c r="Q515">
        <v>71.2</v>
      </c>
    </row>
    <row r="516" spans="1:17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 s="7" t="str">
        <f t="shared" si="8"/>
        <v>Valid</v>
      </c>
      <c r="O516">
        <v>0</v>
      </c>
      <c r="Q516">
        <v>38.299999999999997</v>
      </c>
    </row>
    <row r="517" spans="1:17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 s="7" t="str">
        <f t="shared" si="8"/>
        <v>Valid</v>
      </c>
      <c r="O517">
        <v>0</v>
      </c>
      <c r="Q517">
        <v>63.1</v>
      </c>
    </row>
    <row r="518" spans="1:17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 s="7" t="str">
        <f t="shared" si="8"/>
        <v>Valid</v>
      </c>
      <c r="O518">
        <v>0</v>
      </c>
      <c r="Q518">
        <v>59.7</v>
      </c>
    </row>
    <row r="519" spans="1:17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 s="7" t="str">
        <f t="shared" si="8"/>
        <v>Valid</v>
      </c>
      <c r="O519">
        <v>0</v>
      </c>
      <c r="Q519">
        <v>59.5</v>
      </c>
    </row>
    <row r="520" spans="1:17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s="7" t="str">
        <f t="shared" si="8"/>
        <v>Valid</v>
      </c>
      <c r="O520">
        <v>0</v>
      </c>
      <c r="Q520">
        <v>78.8</v>
      </c>
    </row>
    <row r="521" spans="1:17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7" t="str">
        <f t="shared" si="8"/>
        <v>Valid</v>
      </c>
      <c r="O521">
        <v>0</v>
      </c>
      <c r="Q521">
        <v>54</v>
      </c>
    </row>
    <row r="522" spans="1:17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 s="7" t="str">
        <f t="shared" si="8"/>
        <v>Valid</v>
      </c>
      <c r="O522">
        <v>0</v>
      </c>
      <c r="Q522">
        <v>66.3</v>
      </c>
    </row>
    <row r="523" spans="1:17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 s="7" t="str">
        <f t="shared" si="8"/>
        <v>Valid</v>
      </c>
      <c r="O523">
        <v>0</v>
      </c>
      <c r="Q523">
        <v>54.7</v>
      </c>
    </row>
    <row r="524" spans="1:17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 s="7" t="str">
        <f t="shared" si="8"/>
        <v>Valid</v>
      </c>
      <c r="O524">
        <v>0</v>
      </c>
      <c r="Q524">
        <v>76.7</v>
      </c>
    </row>
    <row r="525" spans="1:17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 s="7" t="str">
        <f t="shared" si="8"/>
        <v>Invalid</v>
      </c>
      <c r="O525">
        <v>0</v>
      </c>
      <c r="Q525">
        <v>47.4</v>
      </c>
    </row>
    <row r="526" spans="1:17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 s="7" t="str">
        <f t="shared" si="8"/>
        <v>Valid</v>
      </c>
      <c r="O526">
        <v>0</v>
      </c>
      <c r="Q526">
        <v>81.7</v>
      </c>
    </row>
    <row r="527" spans="1:17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 s="7" t="str">
        <f t="shared" si="8"/>
        <v>Valid</v>
      </c>
      <c r="O527">
        <v>0</v>
      </c>
      <c r="Q527">
        <v>67.5</v>
      </c>
    </row>
    <row r="528" spans="1:17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 s="7" t="str">
        <f t="shared" si="8"/>
        <v>Valid</v>
      </c>
      <c r="O528">
        <v>0</v>
      </c>
      <c r="Q528">
        <v>36.799999999999997</v>
      </c>
    </row>
    <row r="529" spans="1:17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s="7" t="str">
        <f t="shared" si="8"/>
        <v>Valid</v>
      </c>
      <c r="O529">
        <v>0</v>
      </c>
      <c r="Q529">
        <v>66.5</v>
      </c>
    </row>
    <row r="530" spans="1:17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 s="7" t="str">
        <f t="shared" si="8"/>
        <v>Valid</v>
      </c>
      <c r="O530">
        <v>0</v>
      </c>
      <c r="Q530">
        <v>35.4</v>
      </c>
    </row>
    <row r="531" spans="1:17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s="7" t="str">
        <f t="shared" si="8"/>
        <v>Valid</v>
      </c>
      <c r="O531">
        <v>0</v>
      </c>
      <c r="Q531">
        <v>64.3</v>
      </c>
    </row>
    <row r="532" spans="1:17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s="7" t="str">
        <f t="shared" si="8"/>
        <v>Valid</v>
      </c>
      <c r="O532">
        <v>0</v>
      </c>
      <c r="Q532">
        <v>49.1</v>
      </c>
    </row>
    <row r="533" spans="1:17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s="7" t="str">
        <f t="shared" si="8"/>
        <v>Valid</v>
      </c>
      <c r="O533">
        <v>0</v>
      </c>
      <c r="Q533">
        <v>84.3</v>
      </c>
    </row>
    <row r="534" spans="1:17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 s="7" t="str">
        <f t="shared" si="8"/>
        <v>Valid</v>
      </c>
      <c r="O534">
        <v>0</v>
      </c>
      <c r="Q534">
        <v>65.599999999999994</v>
      </c>
    </row>
    <row r="535" spans="1:17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 s="7" t="str">
        <f t="shared" si="8"/>
        <v>Valid</v>
      </c>
      <c r="O535">
        <v>0</v>
      </c>
      <c r="Q535">
        <v>47.1</v>
      </c>
    </row>
    <row r="536" spans="1:17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 s="7" t="str">
        <f t="shared" si="8"/>
        <v>Valid</v>
      </c>
      <c r="O536">
        <v>0</v>
      </c>
      <c r="Q536">
        <v>70</v>
      </c>
    </row>
    <row r="537" spans="1:17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 s="7" t="str">
        <f t="shared" si="8"/>
        <v>Valid</v>
      </c>
      <c r="O537">
        <v>0</v>
      </c>
      <c r="Q537">
        <v>54.6</v>
      </c>
    </row>
    <row r="538" spans="1:17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 s="7" t="str">
        <f t="shared" si="8"/>
        <v>Valid</v>
      </c>
      <c r="O538">
        <v>0</v>
      </c>
      <c r="Q538">
        <v>65.2</v>
      </c>
    </row>
    <row r="539" spans="1:17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 s="7" t="str">
        <f t="shared" si="8"/>
        <v>Valid</v>
      </c>
      <c r="O539">
        <v>0</v>
      </c>
      <c r="Q539">
        <v>65</v>
      </c>
    </row>
    <row r="540" spans="1:17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 s="7" t="str">
        <f t="shared" si="8"/>
        <v>Valid</v>
      </c>
      <c r="O540">
        <v>0</v>
      </c>
      <c r="Q540">
        <v>42.1</v>
      </c>
    </row>
    <row r="541" spans="1:17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 s="7" t="str">
        <f t="shared" si="8"/>
        <v>Valid</v>
      </c>
      <c r="O541">
        <v>0</v>
      </c>
      <c r="Q541">
        <v>43.4</v>
      </c>
    </row>
    <row r="542" spans="1:17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 s="7" t="str">
        <f t="shared" si="8"/>
        <v>Valid</v>
      </c>
      <c r="O542">
        <v>0</v>
      </c>
      <c r="Q542">
        <v>39.9</v>
      </c>
    </row>
    <row r="543" spans="1:17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7" t="str">
        <f t="shared" si="8"/>
        <v>Valid</v>
      </c>
      <c r="O543">
        <v>0</v>
      </c>
      <c r="Q543">
        <v>74.099999999999994</v>
      </c>
    </row>
    <row r="544" spans="1:17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 s="7" t="str">
        <f t="shared" si="8"/>
        <v>Valid</v>
      </c>
      <c r="O544">
        <v>0</v>
      </c>
      <c r="Q544">
        <v>61.4</v>
      </c>
    </row>
    <row r="545" spans="1:17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 s="7" t="str">
        <f t="shared" si="8"/>
        <v>Valid</v>
      </c>
      <c r="O545">
        <v>0</v>
      </c>
      <c r="Q545">
        <v>76.8</v>
      </c>
    </row>
    <row r="546" spans="1:17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s="7" t="str">
        <f t="shared" si="8"/>
        <v>Valid</v>
      </c>
      <c r="O546">
        <v>0</v>
      </c>
    </row>
    <row r="547" spans="1:17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 s="7" t="str">
        <f t="shared" si="8"/>
        <v>Valid</v>
      </c>
      <c r="O547">
        <v>0</v>
      </c>
      <c r="Q547">
        <v>45.3</v>
      </c>
    </row>
    <row r="548" spans="1:17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 s="7" t="str">
        <f t="shared" si="8"/>
        <v>Valid</v>
      </c>
      <c r="O548">
        <v>0</v>
      </c>
      <c r="Q548">
        <v>41.4</v>
      </c>
    </row>
    <row r="549" spans="1:17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 s="7" t="str">
        <f t="shared" si="8"/>
        <v>Valid</v>
      </c>
      <c r="O549">
        <v>0</v>
      </c>
      <c r="Q549">
        <v>37.1</v>
      </c>
    </row>
    <row r="550" spans="1:17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 s="7" t="str">
        <f t="shared" si="8"/>
        <v>Valid</v>
      </c>
      <c r="O550">
        <v>0</v>
      </c>
      <c r="Q550">
        <v>40.700000000000003</v>
      </c>
    </row>
    <row r="551" spans="1:17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 s="7" t="str">
        <f t="shared" si="8"/>
        <v>Invalid</v>
      </c>
      <c r="O551">
        <v>0</v>
      </c>
      <c r="Q551">
        <v>55.9</v>
      </c>
    </row>
    <row r="552" spans="1:17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 s="7" t="str">
        <f t="shared" si="8"/>
        <v>Valid</v>
      </c>
      <c r="O552">
        <v>0</v>
      </c>
      <c r="Q552">
        <v>55.8</v>
      </c>
    </row>
    <row r="553" spans="1:17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 s="7" t="str">
        <f t="shared" si="8"/>
        <v>Valid</v>
      </c>
      <c r="O553">
        <v>0</v>
      </c>
      <c r="Q553">
        <v>64.3</v>
      </c>
    </row>
    <row r="554" spans="1:17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7" t="str">
        <f t="shared" si="8"/>
        <v>Valid</v>
      </c>
      <c r="O554">
        <v>0</v>
      </c>
      <c r="Q554">
        <v>65.400000000000006</v>
      </c>
    </row>
    <row r="555" spans="1:17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 s="7" t="str">
        <f t="shared" si="8"/>
        <v>Valid</v>
      </c>
      <c r="O555">
        <v>0</v>
      </c>
      <c r="Q555">
        <v>89.8</v>
      </c>
    </row>
    <row r="556" spans="1:17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 s="7" t="str">
        <f t="shared" si="8"/>
        <v>Valid</v>
      </c>
      <c r="O556">
        <v>0</v>
      </c>
      <c r="Q556">
        <v>58.3</v>
      </c>
    </row>
    <row r="557" spans="1:17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 s="7" t="str">
        <f t="shared" si="8"/>
        <v>Valid</v>
      </c>
      <c r="O557">
        <v>0</v>
      </c>
      <c r="Q557">
        <v>64.400000000000006</v>
      </c>
    </row>
    <row r="558" spans="1:17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s="7" t="str">
        <f t="shared" si="8"/>
        <v>Valid</v>
      </c>
      <c r="O558">
        <v>0</v>
      </c>
      <c r="Q558">
        <v>46.2</v>
      </c>
    </row>
    <row r="559" spans="1:17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s="7" t="str">
        <f t="shared" si="8"/>
        <v>Valid</v>
      </c>
      <c r="O559">
        <v>0</v>
      </c>
      <c r="Q559">
        <v>78</v>
      </c>
    </row>
    <row r="560" spans="1:17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 s="7" t="str">
        <f t="shared" si="8"/>
        <v>Valid</v>
      </c>
      <c r="O560">
        <v>0</v>
      </c>
      <c r="Q560">
        <v>62.3</v>
      </c>
    </row>
    <row r="561" spans="1:17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 s="7" t="str">
        <f t="shared" si="8"/>
        <v>Valid</v>
      </c>
      <c r="O561">
        <v>0</v>
      </c>
      <c r="Q561">
        <v>78.8</v>
      </c>
    </row>
    <row r="562" spans="1:17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 s="7" t="str">
        <f t="shared" si="8"/>
        <v>Valid</v>
      </c>
      <c r="O562">
        <v>0</v>
      </c>
      <c r="Q562">
        <v>25</v>
      </c>
    </row>
    <row r="563" spans="1:17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s="7" t="str">
        <f t="shared" si="8"/>
        <v>Valid</v>
      </c>
      <c r="O563">
        <v>0</v>
      </c>
      <c r="Q563">
        <v>53.4</v>
      </c>
    </row>
    <row r="564" spans="1:17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s="7" t="str">
        <f t="shared" si="8"/>
        <v>Valid</v>
      </c>
      <c r="O564">
        <v>0</v>
      </c>
      <c r="Q564">
        <v>40.700000000000003</v>
      </c>
    </row>
    <row r="565" spans="1:17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 s="7" t="str">
        <f t="shared" si="8"/>
        <v>Valid</v>
      </c>
      <c r="O565">
        <v>0</v>
      </c>
      <c r="Q565">
        <v>36.700000000000003</v>
      </c>
    </row>
    <row r="566" spans="1:17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 s="7" t="str">
        <f t="shared" si="8"/>
        <v>Valid</v>
      </c>
      <c r="O566">
        <v>0</v>
      </c>
      <c r="Q566">
        <v>67.5</v>
      </c>
    </row>
    <row r="567" spans="1:17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 s="7" t="str">
        <f t="shared" si="8"/>
        <v>Valid</v>
      </c>
      <c r="O567">
        <v>0</v>
      </c>
      <c r="Q567">
        <v>69.900000000000006</v>
      </c>
    </row>
    <row r="568" spans="1:17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 s="7" t="str">
        <f t="shared" si="8"/>
        <v>Valid</v>
      </c>
      <c r="O568">
        <v>0</v>
      </c>
      <c r="Q568">
        <v>65.099999999999994</v>
      </c>
    </row>
    <row r="569" spans="1:17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 s="7" t="str">
        <f t="shared" si="8"/>
        <v>Valid</v>
      </c>
      <c r="O569">
        <v>0</v>
      </c>
      <c r="Q569">
        <v>48.7</v>
      </c>
    </row>
    <row r="570" spans="1:17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 s="7" t="str">
        <f t="shared" si="8"/>
        <v>Valid</v>
      </c>
      <c r="O570">
        <v>0</v>
      </c>
      <c r="Q570">
        <v>47.2</v>
      </c>
    </row>
    <row r="571" spans="1:17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 s="7" t="str">
        <f t="shared" si="8"/>
        <v>Invalid</v>
      </c>
      <c r="O571">
        <v>0</v>
      </c>
      <c r="Q571">
        <v>20.3</v>
      </c>
    </row>
    <row r="572" spans="1:17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 s="7" t="str">
        <f t="shared" si="8"/>
        <v>Valid</v>
      </c>
      <c r="O572">
        <v>0</v>
      </c>
      <c r="Q572">
        <v>57.8</v>
      </c>
    </row>
    <row r="573" spans="1:17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 s="7" t="str">
        <f t="shared" si="8"/>
        <v>Valid</v>
      </c>
      <c r="O573">
        <v>0</v>
      </c>
      <c r="Q573">
        <v>78.7</v>
      </c>
    </row>
    <row r="574" spans="1:17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 s="7" t="str">
        <f t="shared" si="8"/>
        <v>Valid</v>
      </c>
      <c r="O574">
        <v>0</v>
      </c>
      <c r="Q574">
        <v>63.6</v>
      </c>
    </row>
    <row r="575" spans="1:17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 s="7" t="str">
        <f t="shared" si="8"/>
        <v>Invalid</v>
      </c>
      <c r="O575">
        <v>0</v>
      </c>
      <c r="Q575">
        <v>45.1</v>
      </c>
    </row>
    <row r="576" spans="1:17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s="7" t="str">
        <f t="shared" si="8"/>
        <v>Valid</v>
      </c>
      <c r="O576">
        <v>0</v>
      </c>
      <c r="Q576">
        <v>77.5</v>
      </c>
    </row>
    <row r="577" spans="1:17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 s="7" t="str">
        <f t="shared" si="8"/>
        <v>Valid</v>
      </c>
      <c r="O577">
        <v>0</v>
      </c>
      <c r="Q577">
        <v>58</v>
      </c>
    </row>
    <row r="578" spans="1:17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 s="7" t="str">
        <f t="shared" si="8"/>
        <v>Valid</v>
      </c>
      <c r="O578">
        <v>0</v>
      </c>
      <c r="Q578">
        <v>68.099999999999994</v>
      </c>
    </row>
    <row r="579" spans="1:17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 s="7" t="str">
        <f t="shared" ref="N579:N642" si="9">IF(OR(M579=0,M579=1),"Valid","Invalid")</f>
        <v>Valid</v>
      </c>
      <c r="O579">
        <v>0</v>
      </c>
      <c r="Q579">
        <v>35.4</v>
      </c>
    </row>
    <row r="580" spans="1:17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s="7" t="str">
        <f t="shared" si="9"/>
        <v>Valid</v>
      </c>
      <c r="O580">
        <v>0</v>
      </c>
      <c r="Q580">
        <v>47</v>
      </c>
    </row>
    <row r="581" spans="1:17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s="7" t="str">
        <f t="shared" si="9"/>
        <v>Valid</v>
      </c>
      <c r="O581">
        <v>0</v>
      </c>
      <c r="Q581">
        <v>75</v>
      </c>
    </row>
    <row r="582" spans="1:17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 s="7" t="str">
        <f t="shared" si="9"/>
        <v>Invalid</v>
      </c>
      <c r="O582">
        <v>0</v>
      </c>
      <c r="Q582">
        <v>50.2</v>
      </c>
    </row>
    <row r="583" spans="1:17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 s="7" t="str">
        <f t="shared" si="9"/>
        <v>Valid</v>
      </c>
      <c r="O583">
        <v>0</v>
      </c>
      <c r="Q583">
        <v>40.1</v>
      </c>
    </row>
    <row r="584" spans="1:17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s="7" t="str">
        <f t="shared" si="9"/>
        <v>Valid</v>
      </c>
      <c r="O584">
        <v>0</v>
      </c>
      <c r="Q584">
        <v>61.1</v>
      </c>
    </row>
    <row r="585" spans="1:17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s="7" t="str">
        <f t="shared" si="9"/>
        <v>Valid</v>
      </c>
      <c r="O585">
        <v>0</v>
      </c>
      <c r="Q585">
        <v>42.4</v>
      </c>
    </row>
    <row r="586" spans="1:17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 s="7" t="str">
        <f t="shared" si="9"/>
        <v>Valid</v>
      </c>
      <c r="O586">
        <v>0</v>
      </c>
      <c r="Q586">
        <v>46.6</v>
      </c>
    </row>
    <row r="587" spans="1:17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 s="7" t="str">
        <f t="shared" si="9"/>
        <v>Valid</v>
      </c>
      <c r="O587">
        <v>0</v>
      </c>
      <c r="Q587">
        <v>72.099999999999994</v>
      </c>
    </row>
    <row r="588" spans="1:17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s="7" t="str">
        <f t="shared" si="9"/>
        <v>Valid</v>
      </c>
      <c r="O588">
        <v>0</v>
      </c>
      <c r="Q588">
        <v>21.5</v>
      </c>
    </row>
    <row r="589" spans="1:17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 s="7" t="str">
        <f t="shared" si="9"/>
        <v>Valid</v>
      </c>
      <c r="O589">
        <v>0</v>
      </c>
      <c r="Q589">
        <v>65.400000000000006</v>
      </c>
    </row>
    <row r="590" spans="1:17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 s="7" t="str">
        <f t="shared" si="9"/>
        <v>Valid</v>
      </c>
      <c r="O590">
        <v>0</v>
      </c>
      <c r="Q590">
        <v>53.3</v>
      </c>
    </row>
    <row r="591" spans="1:17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 s="7" t="str">
        <f t="shared" si="9"/>
        <v>Invalid</v>
      </c>
      <c r="O591">
        <v>0</v>
      </c>
      <c r="Q591">
        <v>52.3</v>
      </c>
    </row>
    <row r="592" spans="1:17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 s="7" t="str">
        <f t="shared" si="9"/>
        <v>Valid</v>
      </c>
      <c r="O592">
        <v>0</v>
      </c>
      <c r="Q592">
        <v>62.5</v>
      </c>
    </row>
    <row r="593" spans="1:17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 s="7" t="str">
        <f t="shared" si="9"/>
        <v>Valid</v>
      </c>
      <c r="O593">
        <v>0</v>
      </c>
      <c r="Q593">
        <v>69.8</v>
      </c>
    </row>
    <row r="594" spans="1:17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 s="7" t="str">
        <f t="shared" si="9"/>
        <v>Valid</v>
      </c>
      <c r="O594">
        <v>0</v>
      </c>
      <c r="Q594">
        <v>68.2</v>
      </c>
    </row>
    <row r="595" spans="1:17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 s="7" t="str">
        <f t="shared" si="9"/>
        <v>Valid</v>
      </c>
      <c r="O595">
        <v>0</v>
      </c>
      <c r="P595">
        <v>6</v>
      </c>
      <c r="Q595">
        <v>35.200000000000003</v>
      </c>
    </row>
    <row r="596" spans="1:17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s="7" t="str">
        <f t="shared" si="9"/>
        <v>Valid</v>
      </c>
      <c r="O596">
        <v>0</v>
      </c>
      <c r="Q596">
        <v>59.3</v>
      </c>
    </row>
    <row r="597" spans="1:17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s="7" t="str">
        <f t="shared" si="9"/>
        <v>Valid</v>
      </c>
      <c r="O597">
        <v>0</v>
      </c>
      <c r="Q597">
        <v>68.099999999999994</v>
      </c>
    </row>
    <row r="598" spans="1:17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 s="7" t="str">
        <f t="shared" si="9"/>
        <v>Valid</v>
      </c>
      <c r="O598">
        <v>0</v>
      </c>
      <c r="Q598">
        <v>74.8</v>
      </c>
    </row>
    <row r="599" spans="1:17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 s="7" t="str">
        <f t="shared" si="9"/>
        <v>Valid</v>
      </c>
      <c r="O599">
        <v>0</v>
      </c>
      <c r="Q599">
        <v>61.7</v>
      </c>
    </row>
    <row r="600" spans="1:17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 s="7" t="str">
        <f t="shared" si="9"/>
        <v>Valid</v>
      </c>
      <c r="O600">
        <v>0</v>
      </c>
      <c r="Q600">
        <v>24.3</v>
      </c>
    </row>
    <row r="601" spans="1:17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 s="7" t="str">
        <f t="shared" si="9"/>
        <v>Valid</v>
      </c>
      <c r="O601">
        <v>0</v>
      </c>
      <c r="Q601">
        <v>61.9</v>
      </c>
    </row>
    <row r="602" spans="1:17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 s="7" t="str">
        <f t="shared" si="9"/>
        <v>Invalid</v>
      </c>
      <c r="O602">
        <v>0</v>
      </c>
      <c r="Q602">
        <v>41.7</v>
      </c>
    </row>
    <row r="603" spans="1:17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 s="7" t="str">
        <f t="shared" si="9"/>
        <v>Valid</v>
      </c>
      <c r="O603">
        <v>0</v>
      </c>
      <c r="Q603">
        <v>87.6</v>
      </c>
    </row>
    <row r="604" spans="1:17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 s="7" t="str">
        <f t="shared" si="9"/>
        <v>Valid</v>
      </c>
      <c r="O604">
        <v>0</v>
      </c>
      <c r="Q604">
        <v>30.8</v>
      </c>
    </row>
    <row r="605" spans="1:17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s="7" t="str">
        <f t="shared" si="9"/>
        <v>Valid</v>
      </c>
      <c r="O605">
        <v>0</v>
      </c>
      <c r="Q605">
        <v>54</v>
      </c>
    </row>
    <row r="606" spans="1:17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 s="7" t="str">
        <f t="shared" si="9"/>
        <v>Valid</v>
      </c>
      <c r="O606">
        <v>0</v>
      </c>
      <c r="Q606">
        <v>54.5</v>
      </c>
    </row>
    <row r="607" spans="1:17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 s="7" t="str">
        <f t="shared" si="9"/>
        <v>Valid</v>
      </c>
      <c r="O607">
        <v>0</v>
      </c>
      <c r="Q607">
        <v>61.3</v>
      </c>
    </row>
    <row r="608" spans="1:17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 s="7" t="str">
        <f t="shared" si="9"/>
        <v>Valid</v>
      </c>
      <c r="O608">
        <v>0</v>
      </c>
      <c r="Q608">
        <v>62.7</v>
      </c>
    </row>
    <row r="609" spans="1:17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 s="7" t="str">
        <f t="shared" si="9"/>
        <v>Valid</v>
      </c>
      <c r="O609">
        <v>0</v>
      </c>
      <c r="Q609">
        <v>43.1</v>
      </c>
    </row>
    <row r="610" spans="1:17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s="7" t="str">
        <f t="shared" si="9"/>
        <v>Valid</v>
      </c>
      <c r="O610">
        <v>0</v>
      </c>
      <c r="Q610">
        <v>59.9</v>
      </c>
    </row>
    <row r="611" spans="1:17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 s="7" t="str">
        <f t="shared" si="9"/>
        <v>Valid</v>
      </c>
      <c r="O611">
        <v>0</v>
      </c>
      <c r="Q611">
        <v>55.7</v>
      </c>
    </row>
    <row r="612" spans="1:17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 s="7" t="str">
        <f t="shared" si="9"/>
        <v>Valid</v>
      </c>
      <c r="O612">
        <v>0</v>
      </c>
      <c r="Q612">
        <v>37.1</v>
      </c>
    </row>
    <row r="613" spans="1:17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 s="7" t="str">
        <f t="shared" si="9"/>
        <v>Valid</v>
      </c>
      <c r="O613">
        <v>0</v>
      </c>
      <c r="Q613">
        <v>46.7</v>
      </c>
    </row>
    <row r="614" spans="1:17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 s="7" t="str">
        <f t="shared" si="9"/>
        <v>Valid</v>
      </c>
      <c r="O614">
        <v>0</v>
      </c>
      <c r="Q614">
        <v>54.1</v>
      </c>
    </row>
    <row r="615" spans="1:17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 s="7" t="str">
        <f t="shared" si="9"/>
        <v>Valid</v>
      </c>
      <c r="O615">
        <v>0</v>
      </c>
      <c r="Q615">
        <v>56.1</v>
      </c>
    </row>
    <row r="616" spans="1:17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s="7" t="str">
        <f t="shared" si="9"/>
        <v>Valid</v>
      </c>
      <c r="O616">
        <v>0</v>
      </c>
      <c r="Q616">
        <v>23.6</v>
      </c>
    </row>
    <row r="617" spans="1:17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s="7" t="str">
        <f t="shared" si="9"/>
        <v>Valid</v>
      </c>
      <c r="O617">
        <v>0</v>
      </c>
      <c r="Q617">
        <v>54.7</v>
      </c>
    </row>
    <row r="618" spans="1:17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 s="7" t="str">
        <f t="shared" si="9"/>
        <v>Invalid</v>
      </c>
      <c r="O618">
        <v>0</v>
      </c>
      <c r="Q618">
        <v>50.4</v>
      </c>
    </row>
    <row r="619" spans="1:17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 s="7" t="str">
        <f t="shared" si="9"/>
        <v>Valid</v>
      </c>
      <c r="O619">
        <v>0</v>
      </c>
      <c r="Q619">
        <v>54.5</v>
      </c>
    </row>
    <row r="620" spans="1:17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s="7" t="str">
        <f t="shared" si="9"/>
        <v>Valid</v>
      </c>
      <c r="O620">
        <v>0</v>
      </c>
      <c r="Q620">
        <v>58</v>
      </c>
    </row>
    <row r="621" spans="1:17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s="7" t="str">
        <f t="shared" si="9"/>
        <v>Valid</v>
      </c>
      <c r="O621">
        <v>0</v>
      </c>
      <c r="Q621">
        <v>42.9</v>
      </c>
    </row>
    <row r="622" spans="1:17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 s="7" t="str">
        <f t="shared" si="9"/>
        <v>Valid</v>
      </c>
      <c r="O622">
        <v>0</v>
      </c>
      <c r="Q622">
        <v>51.1</v>
      </c>
    </row>
    <row r="623" spans="1:17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 s="7" t="str">
        <f t="shared" si="9"/>
        <v>Valid</v>
      </c>
      <c r="O623">
        <v>0</v>
      </c>
      <c r="Q623">
        <v>51.8</v>
      </c>
    </row>
    <row r="624" spans="1:17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s="7" t="str">
        <f t="shared" si="9"/>
        <v>Valid</v>
      </c>
      <c r="O624">
        <v>0</v>
      </c>
      <c r="Q624">
        <v>67.7</v>
      </c>
    </row>
    <row r="625" spans="1:17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s="7" t="str">
        <f t="shared" si="9"/>
        <v>Valid</v>
      </c>
      <c r="O625">
        <v>0</v>
      </c>
      <c r="Q625">
        <v>75.8</v>
      </c>
    </row>
    <row r="626" spans="1:17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 s="7" t="str">
        <f t="shared" si="9"/>
        <v>Valid</v>
      </c>
      <c r="O626">
        <v>0</v>
      </c>
      <c r="Q626">
        <v>72.8</v>
      </c>
    </row>
    <row r="627" spans="1:17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 s="7" t="str">
        <f t="shared" si="9"/>
        <v>Valid</v>
      </c>
      <c r="O627">
        <v>0</v>
      </c>
      <c r="Q627">
        <v>54.4</v>
      </c>
    </row>
    <row r="628" spans="1:17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 s="7" t="str">
        <f t="shared" si="9"/>
        <v>Valid</v>
      </c>
      <c r="O628">
        <v>0</v>
      </c>
      <c r="Q628">
        <v>51.8</v>
      </c>
    </row>
    <row r="629" spans="1:17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s="7" t="str">
        <f t="shared" si="9"/>
        <v>Valid</v>
      </c>
      <c r="O629">
        <v>0</v>
      </c>
      <c r="Q629">
        <v>40.299999999999997</v>
      </c>
    </row>
    <row r="630" spans="1:17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 s="7" t="str">
        <f t="shared" si="9"/>
        <v>Valid</v>
      </c>
      <c r="O630">
        <v>0</v>
      </c>
      <c r="Q630">
        <v>61.7</v>
      </c>
    </row>
    <row r="631" spans="1:17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s="7" t="str">
        <f t="shared" si="9"/>
        <v>Valid</v>
      </c>
      <c r="O631">
        <v>0</v>
      </c>
      <c r="Q631">
        <v>45</v>
      </c>
    </row>
    <row r="632" spans="1:17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 s="7" t="str">
        <f t="shared" si="9"/>
        <v>Valid</v>
      </c>
      <c r="O632">
        <v>0</v>
      </c>
      <c r="Q632">
        <v>60</v>
      </c>
    </row>
    <row r="633" spans="1:17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 s="7" t="str">
        <f t="shared" si="9"/>
        <v>Valid</v>
      </c>
      <c r="O633">
        <v>0</v>
      </c>
    </row>
    <row r="634" spans="1:17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 s="7" t="str">
        <f t="shared" si="9"/>
        <v>Valid</v>
      </c>
      <c r="O634">
        <v>0</v>
      </c>
      <c r="Q634">
        <v>55.5</v>
      </c>
    </row>
    <row r="635" spans="1:17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s="7" t="str">
        <f t="shared" si="9"/>
        <v>Valid</v>
      </c>
      <c r="O635">
        <v>0</v>
      </c>
      <c r="Q635">
        <v>51.8</v>
      </c>
    </row>
    <row r="636" spans="1:17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 s="7" t="str">
        <f t="shared" si="9"/>
        <v>Invalid</v>
      </c>
      <c r="O636">
        <v>0</v>
      </c>
      <c r="Q636">
        <v>56</v>
      </c>
    </row>
    <row r="637" spans="1:17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s="7" t="str">
        <f t="shared" si="9"/>
        <v>Valid</v>
      </c>
      <c r="O637">
        <v>0</v>
      </c>
      <c r="Q637">
        <v>52.5</v>
      </c>
    </row>
    <row r="638" spans="1:17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 s="7" t="str">
        <f t="shared" si="9"/>
        <v>Valid</v>
      </c>
      <c r="O638">
        <v>0</v>
      </c>
      <c r="Q638">
        <v>42.5</v>
      </c>
    </row>
    <row r="639" spans="1:17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 s="7" t="str">
        <f t="shared" si="9"/>
        <v>Valid</v>
      </c>
      <c r="O639">
        <v>0</v>
      </c>
      <c r="Q639">
        <v>65.3</v>
      </c>
    </row>
    <row r="640" spans="1:17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s="7" t="str">
        <f t="shared" si="9"/>
        <v>Valid</v>
      </c>
      <c r="O640">
        <v>0</v>
      </c>
      <c r="Q640">
        <v>37.6</v>
      </c>
    </row>
    <row r="641" spans="1:17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s="7" t="str">
        <f t="shared" si="9"/>
        <v>Valid</v>
      </c>
      <c r="O641">
        <v>0</v>
      </c>
      <c r="Q641">
        <v>57.8</v>
      </c>
    </row>
    <row r="642" spans="1:17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 s="7" t="str">
        <f t="shared" si="9"/>
        <v>Valid</v>
      </c>
      <c r="O642">
        <v>0</v>
      </c>
      <c r="Q642">
        <v>52.7</v>
      </c>
    </row>
    <row r="643" spans="1:17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 s="7" t="str">
        <f t="shared" ref="N643:N706" si="10">IF(OR(M643=0,M643=1),"Valid","Invalid")</f>
        <v>Valid</v>
      </c>
      <c r="O643">
        <v>0</v>
      </c>
      <c r="Q643">
        <v>51.7</v>
      </c>
    </row>
    <row r="644" spans="1:17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s="7" t="str">
        <f t="shared" si="10"/>
        <v>Valid</v>
      </c>
      <c r="O644">
        <v>0</v>
      </c>
      <c r="Q644">
        <v>57</v>
      </c>
    </row>
    <row r="645" spans="1:17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s="7" t="str">
        <f t="shared" si="10"/>
        <v>Valid</v>
      </c>
      <c r="O645">
        <v>0</v>
      </c>
      <c r="Q645">
        <v>39.5</v>
      </c>
    </row>
    <row r="646" spans="1:17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 s="7" t="str">
        <f t="shared" si="10"/>
        <v>Valid</v>
      </c>
      <c r="O646">
        <v>0</v>
      </c>
      <c r="Q646">
        <v>76.5</v>
      </c>
    </row>
    <row r="647" spans="1:17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 s="7" t="str">
        <f t="shared" si="10"/>
        <v>Valid</v>
      </c>
      <c r="O647">
        <v>0</v>
      </c>
      <c r="Q647">
        <v>32.4</v>
      </c>
    </row>
    <row r="648" spans="1:17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s="7" t="str">
        <f t="shared" si="10"/>
        <v>Valid</v>
      </c>
      <c r="O648">
        <v>0</v>
      </c>
      <c r="Q648">
        <v>58.6</v>
      </c>
    </row>
    <row r="649" spans="1:17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 s="7" t="str">
        <f t="shared" si="10"/>
        <v>Valid</v>
      </c>
      <c r="O649">
        <v>0</v>
      </c>
      <c r="Q649">
        <v>78.599999999999994</v>
      </c>
    </row>
    <row r="650" spans="1:17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s="7" t="str">
        <f t="shared" si="10"/>
        <v>Valid</v>
      </c>
      <c r="O650">
        <v>0</v>
      </c>
      <c r="Q650">
        <v>54.5</v>
      </c>
    </row>
    <row r="651" spans="1:17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 s="7" t="str">
        <f t="shared" si="10"/>
        <v>Valid</v>
      </c>
      <c r="O651">
        <v>0</v>
      </c>
      <c r="Q651">
        <v>57.6</v>
      </c>
    </row>
    <row r="652" spans="1:17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s="7" t="str">
        <f t="shared" si="10"/>
        <v>Valid</v>
      </c>
      <c r="O652">
        <v>0</v>
      </c>
      <c r="Q652">
        <v>52.8</v>
      </c>
    </row>
    <row r="653" spans="1:17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 s="7" t="str">
        <f t="shared" si="10"/>
        <v>Valid</v>
      </c>
      <c r="O653">
        <v>0</v>
      </c>
      <c r="Q653">
        <v>52.9</v>
      </c>
    </row>
    <row r="654" spans="1:17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 s="7" t="str">
        <f t="shared" si="10"/>
        <v>Valid</v>
      </c>
      <c r="O654">
        <v>0</v>
      </c>
      <c r="Q654">
        <v>55.9</v>
      </c>
    </row>
    <row r="655" spans="1:17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 s="7" t="str">
        <f t="shared" si="10"/>
        <v>Valid</v>
      </c>
      <c r="O655">
        <v>0</v>
      </c>
      <c r="Q655">
        <v>74.2</v>
      </c>
    </row>
    <row r="656" spans="1:17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s="7" t="str">
        <f t="shared" si="10"/>
        <v>Valid</v>
      </c>
      <c r="O656">
        <v>0</v>
      </c>
      <c r="Q656">
        <v>46.3</v>
      </c>
    </row>
    <row r="657" spans="1:17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 s="7" t="str">
        <f t="shared" si="10"/>
        <v>Valid</v>
      </c>
      <c r="O657">
        <v>0</v>
      </c>
      <c r="Q657">
        <v>62</v>
      </c>
    </row>
    <row r="658" spans="1:17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s="7" t="str">
        <f t="shared" si="10"/>
        <v>Valid</v>
      </c>
      <c r="O658">
        <v>0</v>
      </c>
      <c r="Q658">
        <v>55.6</v>
      </c>
    </row>
    <row r="659" spans="1:17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 s="7" t="str">
        <f t="shared" si="10"/>
        <v>Valid</v>
      </c>
      <c r="O659">
        <v>0</v>
      </c>
      <c r="Q659">
        <v>62.8</v>
      </c>
    </row>
    <row r="660" spans="1:17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s="7" t="str">
        <f t="shared" si="10"/>
        <v>Valid</v>
      </c>
      <c r="O660">
        <v>0</v>
      </c>
      <c r="Q660">
        <v>73.099999999999994</v>
      </c>
    </row>
    <row r="661" spans="1:17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 s="7" t="str">
        <f t="shared" si="10"/>
        <v>Valid</v>
      </c>
      <c r="O661">
        <v>0</v>
      </c>
      <c r="P661">
        <v>2</v>
      </c>
      <c r="Q661">
        <v>57.2</v>
      </c>
    </row>
    <row r="662" spans="1:17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 s="7" t="str">
        <f t="shared" si="10"/>
        <v>Valid</v>
      </c>
      <c r="O662">
        <v>0</v>
      </c>
      <c r="Q662">
        <v>67.900000000000006</v>
      </c>
    </row>
    <row r="663" spans="1:17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s="7" t="str">
        <f t="shared" si="10"/>
        <v>Valid</v>
      </c>
      <c r="O663">
        <v>0</v>
      </c>
      <c r="Q663">
        <v>50.1</v>
      </c>
    </row>
    <row r="664" spans="1:17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s="7" t="str">
        <f t="shared" si="10"/>
        <v>Valid</v>
      </c>
      <c r="O664">
        <v>0</v>
      </c>
      <c r="Q664">
        <v>67.8</v>
      </c>
    </row>
    <row r="665" spans="1:17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 s="7" t="str">
        <f t="shared" si="10"/>
        <v>Valid</v>
      </c>
      <c r="O665">
        <v>0</v>
      </c>
      <c r="Q665">
        <v>60.8</v>
      </c>
    </row>
    <row r="666" spans="1:17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 s="7" t="str">
        <f t="shared" si="10"/>
        <v>Invalid</v>
      </c>
      <c r="O666">
        <v>0</v>
      </c>
      <c r="Q666">
        <v>33.700000000000003</v>
      </c>
    </row>
    <row r="667" spans="1:17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s="7" t="str">
        <f t="shared" si="10"/>
        <v>Valid</v>
      </c>
      <c r="O667">
        <v>0</v>
      </c>
      <c r="Q667">
        <v>45.2</v>
      </c>
    </row>
    <row r="668" spans="1:17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s="7" t="str">
        <f t="shared" si="10"/>
        <v>Valid</v>
      </c>
      <c r="O668">
        <v>0</v>
      </c>
      <c r="Q668">
        <v>48.2</v>
      </c>
    </row>
    <row r="669" spans="1:17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 s="7" t="str">
        <f t="shared" si="10"/>
        <v>Valid</v>
      </c>
      <c r="O669">
        <v>0</v>
      </c>
      <c r="Q669">
        <v>44.8</v>
      </c>
    </row>
    <row r="670" spans="1:17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s="7" t="str">
        <f t="shared" si="10"/>
        <v>Valid</v>
      </c>
      <c r="O670">
        <v>0</v>
      </c>
      <c r="Q670">
        <v>52.1</v>
      </c>
    </row>
    <row r="671" spans="1:17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 s="7" t="str">
        <f t="shared" si="10"/>
        <v>Valid</v>
      </c>
      <c r="O671">
        <v>0</v>
      </c>
      <c r="Q671">
        <v>30.7</v>
      </c>
    </row>
    <row r="672" spans="1:17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 s="7" t="str">
        <f t="shared" si="10"/>
        <v>Valid</v>
      </c>
      <c r="O672">
        <v>0</v>
      </c>
      <c r="Q672">
        <v>58.4</v>
      </c>
    </row>
    <row r="673" spans="1:17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 s="7" t="str">
        <f t="shared" si="10"/>
        <v>Valid</v>
      </c>
      <c r="O673">
        <v>0</v>
      </c>
      <c r="Q673">
        <v>52.6</v>
      </c>
    </row>
    <row r="674" spans="1:17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 s="7" t="str">
        <f t="shared" si="10"/>
        <v>Valid</v>
      </c>
      <c r="O674">
        <v>0</v>
      </c>
      <c r="Q674">
        <v>19.100000000000001</v>
      </c>
    </row>
    <row r="675" spans="1:17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 s="7" t="str">
        <f t="shared" si="10"/>
        <v>Valid</v>
      </c>
      <c r="O675">
        <v>0</v>
      </c>
      <c r="Q675">
        <v>36.799999999999997</v>
      </c>
    </row>
    <row r="676" spans="1:17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s="7" t="str">
        <f t="shared" si="10"/>
        <v>Valid</v>
      </c>
      <c r="O676">
        <v>0</v>
      </c>
      <c r="Q676">
        <v>68.5</v>
      </c>
    </row>
    <row r="677" spans="1:17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 s="7" t="str">
        <f t="shared" si="10"/>
        <v>Valid</v>
      </c>
      <c r="O677">
        <v>0</v>
      </c>
      <c r="Q677">
        <v>40.1</v>
      </c>
    </row>
    <row r="678" spans="1:17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 s="7" t="str">
        <f t="shared" si="10"/>
        <v>Valid</v>
      </c>
      <c r="O678">
        <v>0</v>
      </c>
      <c r="Q678">
        <v>47.5</v>
      </c>
    </row>
    <row r="679" spans="1:17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 s="7" t="str">
        <f t="shared" si="10"/>
        <v>Valid</v>
      </c>
      <c r="O679">
        <v>0</v>
      </c>
      <c r="Q679">
        <v>77.099999999999994</v>
      </c>
    </row>
    <row r="680" spans="1:17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 s="7" t="str">
        <f t="shared" si="10"/>
        <v>Valid</v>
      </c>
      <c r="O680">
        <v>0</v>
      </c>
      <c r="Q680">
        <v>75.900000000000006</v>
      </c>
    </row>
    <row r="681" spans="1:17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 s="7" t="str">
        <f t="shared" si="10"/>
        <v>Valid</v>
      </c>
      <c r="O681">
        <v>0</v>
      </c>
      <c r="Q681">
        <v>52</v>
      </c>
    </row>
    <row r="682" spans="1:17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 s="7" t="str">
        <f t="shared" si="10"/>
        <v>Valid</v>
      </c>
      <c r="O682">
        <v>0</v>
      </c>
      <c r="Q682">
        <v>64.900000000000006</v>
      </c>
    </row>
    <row r="683" spans="1:17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 s="7" t="str">
        <f t="shared" si="10"/>
        <v>Valid</v>
      </c>
      <c r="O683">
        <v>0</v>
      </c>
      <c r="Q683">
        <v>48.2</v>
      </c>
    </row>
    <row r="684" spans="1:17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s="7" t="str">
        <f t="shared" si="10"/>
        <v>Valid</v>
      </c>
      <c r="O684">
        <v>0</v>
      </c>
      <c r="Q684">
        <v>42.1</v>
      </c>
    </row>
    <row r="685" spans="1:17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7" t="str">
        <f t="shared" si="10"/>
        <v>Valid</v>
      </c>
      <c r="O685">
        <v>0</v>
      </c>
      <c r="Q685">
        <v>27.6</v>
      </c>
    </row>
    <row r="686" spans="1:17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 s="7" t="str">
        <f t="shared" si="10"/>
        <v>Valid</v>
      </c>
      <c r="O686">
        <v>0</v>
      </c>
      <c r="Q686">
        <v>68.5</v>
      </c>
    </row>
    <row r="687" spans="1:17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 s="7" t="str">
        <f t="shared" si="10"/>
        <v>Valid</v>
      </c>
      <c r="O687">
        <v>0</v>
      </c>
      <c r="Q687">
        <v>59.2</v>
      </c>
    </row>
    <row r="688" spans="1:17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 s="7" t="str">
        <f t="shared" si="10"/>
        <v>Valid</v>
      </c>
      <c r="O688">
        <v>0</v>
      </c>
      <c r="Q688">
        <v>63.3</v>
      </c>
    </row>
    <row r="689" spans="1:17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s="7" t="str">
        <f t="shared" si="10"/>
        <v>Valid</v>
      </c>
      <c r="O689">
        <v>0</v>
      </c>
      <c r="Q689">
        <v>55</v>
      </c>
    </row>
    <row r="690" spans="1:17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 s="7" t="str">
        <f t="shared" si="10"/>
        <v>Valid</v>
      </c>
      <c r="O690">
        <v>0</v>
      </c>
      <c r="Q690">
        <v>64.8</v>
      </c>
    </row>
    <row r="691" spans="1:17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 s="7" t="str">
        <f t="shared" si="10"/>
        <v>Invalid</v>
      </c>
      <c r="O691">
        <v>0</v>
      </c>
      <c r="Q691">
        <v>41.8</v>
      </c>
    </row>
    <row r="692" spans="1:17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 s="7" t="str">
        <f t="shared" si="10"/>
        <v>Valid</v>
      </c>
      <c r="O692">
        <v>0</v>
      </c>
      <c r="Q692">
        <v>73.2</v>
      </c>
    </row>
    <row r="693" spans="1:17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 s="7" t="str">
        <f t="shared" si="10"/>
        <v>Invalid</v>
      </c>
      <c r="O693">
        <v>0</v>
      </c>
      <c r="Q693">
        <v>55.7</v>
      </c>
    </row>
    <row r="694" spans="1:17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 s="7" t="str">
        <f t="shared" si="10"/>
        <v>Valid</v>
      </c>
      <c r="O694">
        <v>0</v>
      </c>
      <c r="Q694">
        <v>82.8</v>
      </c>
    </row>
    <row r="695" spans="1:17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 s="7" t="str">
        <f t="shared" si="10"/>
        <v>Valid</v>
      </c>
      <c r="O695">
        <v>0</v>
      </c>
    </row>
    <row r="696" spans="1:17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s="7" t="str">
        <f t="shared" si="10"/>
        <v>Valid</v>
      </c>
      <c r="O696">
        <v>0</v>
      </c>
      <c r="Q696">
        <v>34.4</v>
      </c>
    </row>
    <row r="697" spans="1:17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 s="7" t="str">
        <f t="shared" si="10"/>
        <v>Valid</v>
      </c>
      <c r="O697">
        <v>0</v>
      </c>
      <c r="Q697">
        <v>45.2</v>
      </c>
    </row>
    <row r="698" spans="1:17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 s="7" t="str">
        <f t="shared" si="10"/>
        <v>Valid</v>
      </c>
      <c r="O698">
        <v>0</v>
      </c>
      <c r="Q698">
        <v>71.599999999999994</v>
      </c>
    </row>
    <row r="699" spans="1:17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 s="7" t="str">
        <f t="shared" si="10"/>
        <v>Valid</v>
      </c>
      <c r="O699">
        <v>0</v>
      </c>
      <c r="Q699">
        <v>69.099999999999994</v>
      </c>
    </row>
    <row r="700" spans="1:17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 s="7" t="str">
        <f t="shared" si="10"/>
        <v>Valid</v>
      </c>
      <c r="O700">
        <v>0</v>
      </c>
      <c r="Q700">
        <v>37.700000000000003</v>
      </c>
    </row>
    <row r="701" spans="1:17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 s="7" t="str">
        <f t="shared" si="10"/>
        <v>Valid</v>
      </c>
      <c r="O701">
        <v>0</v>
      </c>
      <c r="Q701">
        <v>60.8</v>
      </c>
    </row>
    <row r="702" spans="1:17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 s="7" t="str">
        <f t="shared" si="10"/>
        <v>Valid</v>
      </c>
      <c r="O702">
        <v>0</v>
      </c>
      <c r="P702">
        <v>10</v>
      </c>
      <c r="Q702">
        <v>80.7</v>
      </c>
    </row>
    <row r="703" spans="1:17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 s="7" t="str">
        <f t="shared" si="10"/>
        <v>Valid</v>
      </c>
      <c r="O703">
        <v>0</v>
      </c>
      <c r="Q703">
        <v>69.2</v>
      </c>
    </row>
    <row r="704" spans="1:17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 s="7" t="str">
        <f t="shared" si="10"/>
        <v>Invalid</v>
      </c>
      <c r="O704">
        <v>0</v>
      </c>
      <c r="Q704">
        <v>55</v>
      </c>
    </row>
    <row r="705" spans="1:17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 s="7" t="str">
        <f t="shared" si="10"/>
        <v>Valid</v>
      </c>
      <c r="O705">
        <v>0</v>
      </c>
      <c r="Q705">
        <v>73.599999999999994</v>
      </c>
    </row>
    <row r="706" spans="1:17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 s="7" t="str">
        <f t="shared" si="10"/>
        <v>Valid</v>
      </c>
      <c r="O706">
        <v>0</v>
      </c>
      <c r="Q706">
        <v>47.3</v>
      </c>
    </row>
    <row r="707" spans="1:17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s="7" t="str">
        <f t="shared" ref="N707:N770" si="11">IF(OR(M707=0,M707=1),"Valid","Invalid")</f>
        <v>Valid</v>
      </c>
      <c r="O707">
        <v>0</v>
      </c>
      <c r="Q707">
        <v>43.6</v>
      </c>
    </row>
    <row r="708" spans="1:17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 s="7" t="str">
        <f t="shared" si="11"/>
        <v>Valid</v>
      </c>
      <c r="O708">
        <v>0</v>
      </c>
    </row>
    <row r="709" spans="1:17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s="7" t="str">
        <f t="shared" si="11"/>
        <v>Valid</v>
      </c>
      <c r="O709">
        <v>0</v>
      </c>
      <c r="Q709">
        <v>55.2</v>
      </c>
    </row>
    <row r="710" spans="1:17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 s="7" t="str">
        <f t="shared" si="11"/>
        <v>Valid</v>
      </c>
      <c r="O710">
        <v>0</v>
      </c>
      <c r="Q710">
        <v>49.4</v>
      </c>
    </row>
    <row r="711" spans="1:17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 s="7" t="str">
        <f t="shared" si="11"/>
        <v>Valid</v>
      </c>
      <c r="O711">
        <v>0</v>
      </c>
      <c r="Q711">
        <v>60.1</v>
      </c>
    </row>
    <row r="712" spans="1:17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 s="7" t="str">
        <f t="shared" si="11"/>
        <v>Valid</v>
      </c>
      <c r="O712">
        <v>0</v>
      </c>
      <c r="Q712">
        <v>55.9</v>
      </c>
    </row>
    <row r="713" spans="1:17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 s="7" t="str">
        <f t="shared" si="11"/>
        <v>Valid</v>
      </c>
      <c r="O713">
        <v>0</v>
      </c>
      <c r="Q713">
        <v>51.5</v>
      </c>
    </row>
    <row r="714" spans="1:17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 s="7" t="str">
        <f t="shared" si="11"/>
        <v>Valid</v>
      </c>
      <c r="O714">
        <v>0</v>
      </c>
      <c r="P714">
        <v>11</v>
      </c>
      <c r="Q714">
        <v>57.9</v>
      </c>
    </row>
    <row r="715" spans="1:17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 s="7" t="str">
        <f t="shared" si="11"/>
        <v>Invalid</v>
      </c>
      <c r="O715">
        <v>0</v>
      </c>
      <c r="P715">
        <v>8</v>
      </c>
      <c r="Q715">
        <v>59.2</v>
      </c>
    </row>
    <row r="716" spans="1:17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s="7" t="str">
        <f t="shared" si="11"/>
        <v>Valid</v>
      </c>
      <c r="O716">
        <v>0</v>
      </c>
      <c r="Q716">
        <v>64.2</v>
      </c>
    </row>
    <row r="717" spans="1:17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 s="7" t="str">
        <f t="shared" si="11"/>
        <v>Valid</v>
      </c>
      <c r="O717">
        <v>0</v>
      </c>
      <c r="Q717">
        <v>68.8</v>
      </c>
    </row>
    <row r="718" spans="1:17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 s="7" t="str">
        <f t="shared" si="11"/>
        <v>Valid</v>
      </c>
      <c r="O718">
        <v>0</v>
      </c>
      <c r="Q718">
        <v>77.900000000000006</v>
      </c>
    </row>
    <row r="719" spans="1:17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s="7" t="str">
        <f t="shared" si="11"/>
        <v>Valid</v>
      </c>
      <c r="O719">
        <v>0</v>
      </c>
      <c r="Q719">
        <v>92.1</v>
      </c>
    </row>
    <row r="720" spans="1:17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s="7" t="str">
        <f t="shared" si="11"/>
        <v>Valid</v>
      </c>
      <c r="O720">
        <v>0</v>
      </c>
      <c r="Q720">
        <v>63.6</v>
      </c>
    </row>
    <row r="721" spans="1:17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 s="7" t="str">
        <f t="shared" si="11"/>
        <v>Invalid</v>
      </c>
      <c r="O721">
        <v>0</v>
      </c>
      <c r="Q721">
        <v>61.6</v>
      </c>
    </row>
    <row r="722" spans="1:17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 s="7" t="str">
        <f t="shared" si="11"/>
        <v>Valid</v>
      </c>
      <c r="O722">
        <v>0</v>
      </c>
      <c r="Q722">
        <v>82.3</v>
      </c>
    </row>
    <row r="723" spans="1:17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 s="7" t="str">
        <f t="shared" si="11"/>
        <v>Valid</v>
      </c>
      <c r="O723">
        <v>0</v>
      </c>
      <c r="Q723">
        <v>79.3</v>
      </c>
    </row>
    <row r="724" spans="1:17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s="7" t="str">
        <f t="shared" si="11"/>
        <v>Valid</v>
      </c>
      <c r="O724">
        <v>0</v>
      </c>
      <c r="Q724">
        <v>57.7</v>
      </c>
    </row>
    <row r="725" spans="1:17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 s="7" t="str">
        <f t="shared" si="11"/>
        <v>Valid</v>
      </c>
      <c r="O725">
        <v>0</v>
      </c>
      <c r="Q725">
        <v>63.1</v>
      </c>
    </row>
    <row r="726" spans="1:17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s="7" t="str">
        <f t="shared" si="11"/>
        <v>Valid</v>
      </c>
      <c r="O726">
        <v>0</v>
      </c>
      <c r="Q726">
        <v>72.3</v>
      </c>
    </row>
    <row r="727" spans="1:17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 s="7" t="str">
        <f t="shared" si="11"/>
        <v>Valid</v>
      </c>
      <c r="O727">
        <v>0</v>
      </c>
      <c r="Q727">
        <v>78</v>
      </c>
    </row>
    <row r="728" spans="1:17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 s="7" t="str">
        <f t="shared" si="11"/>
        <v>Invalid</v>
      </c>
      <c r="O728">
        <v>0</v>
      </c>
      <c r="Q728">
        <v>59.1</v>
      </c>
    </row>
    <row r="729" spans="1:17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 s="7" t="str">
        <f t="shared" si="11"/>
        <v>Valid</v>
      </c>
      <c r="O729">
        <v>0</v>
      </c>
      <c r="P729">
        <v>7</v>
      </c>
      <c r="Q729">
        <v>47.1</v>
      </c>
    </row>
    <row r="730" spans="1:17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 s="7" t="str">
        <f t="shared" si="11"/>
        <v>Valid</v>
      </c>
      <c r="O730">
        <v>0</v>
      </c>
      <c r="Q730">
        <v>64.900000000000006</v>
      </c>
    </row>
    <row r="731" spans="1:17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s="7" t="str">
        <f t="shared" si="11"/>
        <v>Valid</v>
      </c>
      <c r="O731">
        <v>0</v>
      </c>
      <c r="Q731">
        <v>67.3</v>
      </c>
    </row>
    <row r="732" spans="1:17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 s="7" t="str">
        <f t="shared" si="11"/>
        <v>Invalid</v>
      </c>
      <c r="O732">
        <v>0</v>
      </c>
      <c r="Q732">
        <v>52.9</v>
      </c>
    </row>
    <row r="733" spans="1:17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 s="7" t="str">
        <f t="shared" si="11"/>
        <v>Valid</v>
      </c>
      <c r="O733">
        <v>0</v>
      </c>
      <c r="P733">
        <v>4</v>
      </c>
      <c r="Q733">
        <v>69.900000000000006</v>
      </c>
    </row>
    <row r="734" spans="1:17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 s="7" t="str">
        <f t="shared" si="11"/>
        <v>Valid</v>
      </c>
      <c r="O734">
        <v>0</v>
      </c>
      <c r="Q734">
        <v>78.900000000000006</v>
      </c>
    </row>
    <row r="735" spans="1:17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 s="7" t="str">
        <f t="shared" si="11"/>
        <v>Valid</v>
      </c>
      <c r="O735">
        <v>0</v>
      </c>
      <c r="Q735">
        <v>83.3</v>
      </c>
    </row>
    <row r="736" spans="1:17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 s="7" t="str">
        <f t="shared" si="11"/>
        <v>Valid</v>
      </c>
      <c r="O736">
        <v>0</v>
      </c>
      <c r="Q736">
        <v>24.5</v>
      </c>
    </row>
    <row r="737" spans="1:17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 s="7" t="str">
        <f t="shared" si="11"/>
        <v>Valid</v>
      </c>
      <c r="O737">
        <v>0</v>
      </c>
      <c r="Q737">
        <v>56.9</v>
      </c>
    </row>
    <row r="738" spans="1:17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 s="7" t="str">
        <f t="shared" si="11"/>
        <v>Valid</v>
      </c>
      <c r="O738">
        <v>0</v>
      </c>
      <c r="Q738">
        <v>69.900000000000006</v>
      </c>
    </row>
    <row r="739" spans="1:17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 s="7" t="str">
        <f t="shared" si="11"/>
        <v>Valid</v>
      </c>
      <c r="O739">
        <v>0</v>
      </c>
      <c r="Q739">
        <v>81.5</v>
      </c>
    </row>
    <row r="740" spans="1:17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 s="7" t="str">
        <f t="shared" si="11"/>
        <v>Invalid</v>
      </c>
      <c r="O740">
        <v>0</v>
      </c>
      <c r="Q740">
        <v>37.9</v>
      </c>
    </row>
    <row r="741" spans="1:17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s="7" t="str">
        <f t="shared" si="11"/>
        <v>Valid</v>
      </c>
      <c r="O741">
        <v>0</v>
      </c>
      <c r="Q741">
        <v>61.7</v>
      </c>
    </row>
    <row r="742" spans="1:17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 s="7" t="str">
        <f t="shared" si="11"/>
        <v>Invalid</v>
      </c>
      <c r="O742">
        <v>0</v>
      </c>
      <c r="Q742">
        <v>53.2</v>
      </c>
    </row>
    <row r="743" spans="1:17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s="7" t="str">
        <f t="shared" si="11"/>
        <v>Valid</v>
      </c>
      <c r="O743">
        <v>0</v>
      </c>
      <c r="Q743">
        <v>61.9</v>
      </c>
    </row>
    <row r="744" spans="1:17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 s="7" t="str">
        <f t="shared" si="11"/>
        <v>Valid</v>
      </c>
      <c r="O744">
        <v>0</v>
      </c>
      <c r="Q744">
        <v>68.900000000000006</v>
      </c>
    </row>
    <row r="745" spans="1:17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7" t="str">
        <f t="shared" si="11"/>
        <v>Valid</v>
      </c>
      <c r="O745">
        <v>0</v>
      </c>
      <c r="Q745">
        <v>66.3</v>
      </c>
    </row>
    <row r="746" spans="1:17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 s="7" t="str">
        <f t="shared" si="11"/>
        <v>Valid</v>
      </c>
      <c r="O746">
        <v>0</v>
      </c>
      <c r="Q746">
        <v>54.6</v>
      </c>
    </row>
    <row r="747" spans="1:17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s="7" t="str">
        <f t="shared" si="11"/>
        <v>Valid</v>
      </c>
      <c r="O747">
        <v>0</v>
      </c>
      <c r="Q747">
        <v>53.8</v>
      </c>
    </row>
    <row r="748" spans="1:17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 s="7" t="str">
        <f t="shared" si="11"/>
        <v>Valid</v>
      </c>
      <c r="O748">
        <v>0</v>
      </c>
      <c r="Q748">
        <v>59.5</v>
      </c>
    </row>
    <row r="749" spans="1:17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 s="7" t="str">
        <f t="shared" si="11"/>
        <v>Valid</v>
      </c>
      <c r="O749">
        <v>0</v>
      </c>
      <c r="Q749">
        <v>52.6</v>
      </c>
    </row>
    <row r="750" spans="1:17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s="7" t="str">
        <f t="shared" si="11"/>
        <v>Valid</v>
      </c>
      <c r="O750">
        <v>0</v>
      </c>
      <c r="Q750">
        <v>49</v>
      </c>
    </row>
    <row r="751" spans="1:17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 s="7" t="str">
        <f t="shared" si="11"/>
        <v>Valid</v>
      </c>
      <c r="O751">
        <v>0</v>
      </c>
      <c r="Q751">
        <v>59.3</v>
      </c>
    </row>
    <row r="752" spans="1:17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s="7" t="str">
        <f t="shared" si="11"/>
        <v>Valid</v>
      </c>
      <c r="O752">
        <v>0</v>
      </c>
      <c r="Q752">
        <v>67.2</v>
      </c>
    </row>
    <row r="753" spans="1:17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s="7" t="str">
        <f t="shared" si="11"/>
        <v>Valid</v>
      </c>
      <c r="O753">
        <v>0</v>
      </c>
      <c r="Q753">
        <v>73.5</v>
      </c>
    </row>
    <row r="754" spans="1:17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 s="7" t="str">
        <f t="shared" si="11"/>
        <v>Valid</v>
      </c>
      <c r="O754">
        <v>0</v>
      </c>
      <c r="Q754">
        <v>61.2</v>
      </c>
    </row>
    <row r="755" spans="1:17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 s="7" t="str">
        <f t="shared" si="11"/>
        <v>Valid</v>
      </c>
      <c r="O755">
        <v>0</v>
      </c>
      <c r="Q755">
        <v>56.4</v>
      </c>
    </row>
    <row r="756" spans="1:17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 s="7" t="str">
        <f t="shared" si="11"/>
        <v>Invalid</v>
      </c>
      <c r="O756">
        <v>0</v>
      </c>
      <c r="Q756">
        <v>72.599999999999994</v>
      </c>
    </row>
    <row r="757" spans="1:17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 s="7" t="str">
        <f t="shared" si="11"/>
        <v>Valid</v>
      </c>
      <c r="O757">
        <v>0</v>
      </c>
      <c r="Q757">
        <v>61.7</v>
      </c>
    </row>
    <row r="758" spans="1:17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 s="7" t="str">
        <f t="shared" si="11"/>
        <v>Valid</v>
      </c>
      <c r="O758">
        <v>0</v>
      </c>
      <c r="Q758">
        <v>66.900000000000006</v>
      </c>
    </row>
    <row r="759" spans="1:17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 s="7" t="str">
        <f t="shared" si="11"/>
        <v>Valid</v>
      </c>
      <c r="O759">
        <v>0</v>
      </c>
      <c r="P759">
        <v>7</v>
      </c>
      <c r="Q759">
        <v>64.900000000000006</v>
      </c>
    </row>
    <row r="760" spans="1:17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 s="7" t="str">
        <f t="shared" si="11"/>
        <v>Valid</v>
      </c>
      <c r="O760">
        <v>0</v>
      </c>
      <c r="Q760">
        <v>57.5</v>
      </c>
    </row>
    <row r="761" spans="1:17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 s="7" t="str">
        <f t="shared" si="11"/>
        <v>Valid</v>
      </c>
      <c r="O761">
        <v>0</v>
      </c>
      <c r="Q761">
        <v>76.3</v>
      </c>
    </row>
    <row r="762" spans="1:17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s="7" t="str">
        <f t="shared" si="11"/>
        <v>Valid</v>
      </c>
      <c r="O762">
        <v>0</v>
      </c>
      <c r="Q762">
        <v>47.5</v>
      </c>
    </row>
    <row r="763" spans="1:17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s="7" t="str">
        <f t="shared" si="11"/>
        <v>Valid</v>
      </c>
      <c r="O763">
        <v>0</v>
      </c>
    </row>
    <row r="764" spans="1:17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 s="7" t="str">
        <f t="shared" si="11"/>
        <v>Invalid</v>
      </c>
      <c r="O764">
        <v>0</v>
      </c>
      <c r="Q764">
        <v>71.599999999999994</v>
      </c>
    </row>
    <row r="765" spans="1:17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 s="7" t="str">
        <f t="shared" si="11"/>
        <v>Valid</v>
      </c>
      <c r="O765">
        <v>0</v>
      </c>
      <c r="Q765">
        <v>55.8</v>
      </c>
    </row>
    <row r="766" spans="1:17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s="7" t="str">
        <f t="shared" si="11"/>
        <v>Valid</v>
      </c>
      <c r="O766">
        <v>0</v>
      </c>
      <c r="Q766">
        <v>60.1</v>
      </c>
    </row>
    <row r="767" spans="1:17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 s="7" t="str">
        <f t="shared" si="11"/>
        <v>Valid</v>
      </c>
      <c r="O767">
        <v>0</v>
      </c>
      <c r="Q767">
        <v>59.3</v>
      </c>
    </row>
    <row r="768" spans="1:17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 s="7" t="str">
        <f t="shared" si="11"/>
        <v>Invalid</v>
      </c>
      <c r="O768">
        <v>0</v>
      </c>
      <c r="Q768">
        <v>49.3</v>
      </c>
    </row>
    <row r="769" spans="1:17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 s="7" t="str">
        <f t="shared" si="11"/>
        <v>Valid</v>
      </c>
      <c r="O769">
        <v>0</v>
      </c>
      <c r="Q769">
        <v>75</v>
      </c>
    </row>
    <row r="770" spans="1:17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 s="7" t="str">
        <f t="shared" si="11"/>
        <v>Valid</v>
      </c>
      <c r="O770">
        <v>0</v>
      </c>
      <c r="Q770">
        <v>70.2</v>
      </c>
    </row>
    <row r="771" spans="1:17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 s="7" t="str">
        <f t="shared" ref="N771:N834" si="12">IF(OR(M771=0,M771=1),"Valid","Invalid")</f>
        <v>Valid</v>
      </c>
      <c r="O771">
        <v>0</v>
      </c>
      <c r="Q771">
        <v>56.6</v>
      </c>
    </row>
    <row r="772" spans="1:17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 s="7" t="str">
        <f t="shared" si="12"/>
        <v>Valid</v>
      </c>
      <c r="O772">
        <v>0</v>
      </c>
      <c r="Q772">
        <v>65.400000000000006</v>
      </c>
    </row>
    <row r="773" spans="1:17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 s="7" t="str">
        <f t="shared" si="12"/>
        <v>Valid</v>
      </c>
      <c r="O773">
        <v>0</v>
      </c>
      <c r="Q773">
        <v>47.6</v>
      </c>
    </row>
    <row r="774" spans="1:17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s="7" t="str">
        <f t="shared" si="12"/>
        <v>Valid</v>
      </c>
      <c r="O774">
        <v>0</v>
      </c>
      <c r="Q774">
        <v>56.7</v>
      </c>
    </row>
    <row r="775" spans="1:17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 s="7" t="str">
        <f t="shared" si="12"/>
        <v>Valid</v>
      </c>
      <c r="O775">
        <v>0</v>
      </c>
      <c r="Q775">
        <v>71.400000000000006</v>
      </c>
    </row>
    <row r="776" spans="1:17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 s="7" t="str">
        <f t="shared" si="12"/>
        <v>Invalid</v>
      </c>
      <c r="O776">
        <v>0</v>
      </c>
      <c r="Q776">
        <v>60.5</v>
      </c>
    </row>
    <row r="777" spans="1:17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 s="7" t="str">
        <f t="shared" si="12"/>
        <v>Valid</v>
      </c>
      <c r="O777">
        <v>0</v>
      </c>
      <c r="Q777">
        <v>46.7</v>
      </c>
    </row>
    <row r="778" spans="1:17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s="7" t="str">
        <f t="shared" si="12"/>
        <v>Valid</v>
      </c>
      <c r="O778">
        <v>0</v>
      </c>
      <c r="Q778">
        <v>61</v>
      </c>
    </row>
    <row r="779" spans="1:17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s="7" t="str">
        <f t="shared" si="12"/>
        <v>Valid</v>
      </c>
      <c r="O779">
        <v>0</v>
      </c>
      <c r="Q779">
        <v>60.9</v>
      </c>
    </row>
    <row r="780" spans="1:17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 s="7" t="str">
        <f t="shared" si="12"/>
        <v>Valid</v>
      </c>
      <c r="O780">
        <v>0</v>
      </c>
      <c r="Q780">
        <v>67.099999999999994</v>
      </c>
    </row>
    <row r="781" spans="1:17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 s="7" t="str">
        <f t="shared" si="12"/>
        <v>Valid</v>
      </c>
      <c r="O781">
        <v>0</v>
      </c>
      <c r="Q781">
        <v>59.6</v>
      </c>
    </row>
    <row r="782" spans="1:17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 s="7" t="str">
        <f t="shared" si="12"/>
        <v>Valid</v>
      </c>
      <c r="O782">
        <v>0</v>
      </c>
      <c r="Q782">
        <v>83.8</v>
      </c>
    </row>
    <row r="783" spans="1:17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 s="7" t="str">
        <f t="shared" si="12"/>
        <v>Valid</v>
      </c>
      <c r="O783">
        <v>0</v>
      </c>
      <c r="Q783">
        <v>70.8</v>
      </c>
    </row>
    <row r="784" spans="1:17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s="7" t="str">
        <f t="shared" si="12"/>
        <v>Valid</v>
      </c>
      <c r="O784">
        <v>0</v>
      </c>
      <c r="Q784">
        <v>65.900000000000006</v>
      </c>
    </row>
    <row r="785" spans="1:17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 s="7" t="str">
        <f t="shared" si="12"/>
        <v>Valid</v>
      </c>
      <c r="O785">
        <v>0</v>
      </c>
      <c r="Q785">
        <v>58</v>
      </c>
    </row>
    <row r="786" spans="1:17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 s="7" t="str">
        <f t="shared" si="12"/>
        <v>Valid</v>
      </c>
      <c r="O786">
        <v>0</v>
      </c>
      <c r="Q786">
        <v>80.3</v>
      </c>
    </row>
    <row r="787" spans="1:17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 s="7" t="str">
        <f t="shared" si="12"/>
        <v>Valid</v>
      </c>
      <c r="O787">
        <v>0</v>
      </c>
      <c r="Q787">
        <v>55.7</v>
      </c>
    </row>
    <row r="788" spans="1:17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 s="7" t="str">
        <f t="shared" si="12"/>
        <v>Valid</v>
      </c>
      <c r="O788">
        <v>0</v>
      </c>
      <c r="Q788">
        <v>84.9</v>
      </c>
    </row>
    <row r="789" spans="1:17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 s="7" t="str">
        <f t="shared" si="12"/>
        <v>Valid</v>
      </c>
      <c r="O789">
        <v>0</v>
      </c>
      <c r="Q789">
        <v>63.3</v>
      </c>
    </row>
    <row r="790" spans="1:17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s="7" t="str">
        <f t="shared" si="12"/>
        <v>Valid</v>
      </c>
      <c r="O790">
        <v>0</v>
      </c>
      <c r="Q790">
        <v>53.1</v>
      </c>
    </row>
    <row r="791" spans="1:17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s="7" t="str">
        <f t="shared" si="12"/>
        <v>Valid</v>
      </c>
      <c r="O791">
        <v>0</v>
      </c>
      <c r="Q791">
        <v>66</v>
      </c>
    </row>
    <row r="792" spans="1:17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s="7" t="str">
        <f t="shared" si="12"/>
        <v>Valid</v>
      </c>
      <c r="O792">
        <v>0</v>
      </c>
      <c r="Q792">
        <v>54.7</v>
      </c>
    </row>
    <row r="793" spans="1:17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 s="7" t="str">
        <f t="shared" si="12"/>
        <v>Valid</v>
      </c>
      <c r="O793">
        <v>0</v>
      </c>
      <c r="Q793">
        <v>41.2</v>
      </c>
    </row>
    <row r="794" spans="1:17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s="7" t="str">
        <f t="shared" si="12"/>
        <v>Valid</v>
      </c>
      <c r="O794">
        <v>0</v>
      </c>
      <c r="Q794">
        <v>66.7</v>
      </c>
    </row>
    <row r="795" spans="1:17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s="7" t="str">
        <f t="shared" si="12"/>
        <v>Valid</v>
      </c>
      <c r="O795">
        <v>0</v>
      </c>
      <c r="Q795">
        <v>39.4</v>
      </c>
    </row>
    <row r="796" spans="1:17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 s="7" t="str">
        <f t="shared" si="12"/>
        <v>Invalid</v>
      </c>
      <c r="O796">
        <v>0</v>
      </c>
      <c r="Q796">
        <v>67</v>
      </c>
    </row>
    <row r="797" spans="1:17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 s="7" t="str">
        <f t="shared" si="12"/>
        <v>Valid</v>
      </c>
      <c r="O797">
        <v>0</v>
      </c>
      <c r="Q797">
        <v>50.4</v>
      </c>
    </row>
    <row r="798" spans="1:17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 s="7" t="str">
        <f t="shared" si="12"/>
        <v>Valid</v>
      </c>
      <c r="O798">
        <v>0</v>
      </c>
      <c r="Q798">
        <v>53.8</v>
      </c>
    </row>
    <row r="799" spans="1:17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 s="7" t="str">
        <f t="shared" si="12"/>
        <v>Valid</v>
      </c>
      <c r="O799">
        <v>0</v>
      </c>
      <c r="Q799">
        <v>82.7</v>
      </c>
    </row>
    <row r="800" spans="1:17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 s="7" t="str">
        <f t="shared" si="12"/>
        <v>Valid</v>
      </c>
      <c r="O800">
        <v>0</v>
      </c>
      <c r="Q800">
        <v>63.9</v>
      </c>
    </row>
    <row r="801" spans="1:17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 s="7" t="str">
        <f t="shared" si="12"/>
        <v>Valid</v>
      </c>
      <c r="O801">
        <v>0</v>
      </c>
      <c r="Q801">
        <v>61.9</v>
      </c>
    </row>
    <row r="802" spans="1:17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 s="7" t="str">
        <f t="shared" si="12"/>
        <v>Valid</v>
      </c>
      <c r="O802">
        <v>0</v>
      </c>
      <c r="Q802">
        <v>75</v>
      </c>
    </row>
    <row r="803" spans="1:17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 s="7" t="str">
        <f t="shared" si="12"/>
        <v>Valid</v>
      </c>
      <c r="O803">
        <v>0</v>
      </c>
      <c r="Q803">
        <v>43</v>
      </c>
    </row>
    <row r="804" spans="1:17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s="7" t="str">
        <f t="shared" si="12"/>
        <v>Valid</v>
      </c>
      <c r="O804">
        <v>0</v>
      </c>
      <c r="Q804">
        <v>54.3</v>
      </c>
    </row>
    <row r="805" spans="1:17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 s="7" t="str">
        <f t="shared" si="12"/>
        <v>Invalid</v>
      </c>
      <c r="O805">
        <v>0</v>
      </c>
      <c r="Q805">
        <v>44.3</v>
      </c>
    </row>
    <row r="806" spans="1:17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 s="7" t="str">
        <f t="shared" si="12"/>
        <v>Valid</v>
      </c>
      <c r="O806">
        <v>0</v>
      </c>
      <c r="P806">
        <v>12</v>
      </c>
      <c r="Q806">
        <v>76</v>
      </c>
    </row>
    <row r="807" spans="1:17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 s="7" t="str">
        <f t="shared" si="12"/>
        <v>Invalid</v>
      </c>
      <c r="O807">
        <v>0</v>
      </c>
      <c r="Q807">
        <v>65.3</v>
      </c>
    </row>
    <row r="808" spans="1:17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 s="7" t="str">
        <f t="shared" si="12"/>
        <v>Valid</v>
      </c>
      <c r="O808">
        <v>0</v>
      </c>
      <c r="Q808">
        <v>71.2</v>
      </c>
    </row>
    <row r="809" spans="1:17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 s="7" t="str">
        <f t="shared" si="12"/>
        <v>Valid</v>
      </c>
      <c r="O809">
        <v>0</v>
      </c>
      <c r="Q809">
        <v>77.900000000000006</v>
      </c>
    </row>
    <row r="810" spans="1:17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s="7" t="str">
        <f t="shared" si="12"/>
        <v>Valid</v>
      </c>
      <c r="O810">
        <v>0</v>
      </c>
      <c r="Q810">
        <v>48.6</v>
      </c>
    </row>
    <row r="811" spans="1:17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 s="7" t="str">
        <f t="shared" si="12"/>
        <v>Valid</v>
      </c>
      <c r="O811">
        <v>0</v>
      </c>
      <c r="Q811">
        <v>61.9</v>
      </c>
    </row>
    <row r="812" spans="1:17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 s="7" t="str">
        <f t="shared" si="12"/>
        <v>Valid</v>
      </c>
      <c r="O812">
        <v>0</v>
      </c>
      <c r="Q812">
        <v>58.7</v>
      </c>
    </row>
    <row r="813" spans="1:17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 s="7" t="str">
        <f t="shared" si="12"/>
        <v>Valid</v>
      </c>
      <c r="O813">
        <v>0</v>
      </c>
      <c r="Q813">
        <v>69.599999999999994</v>
      </c>
    </row>
    <row r="814" spans="1:17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 s="7" t="str">
        <f t="shared" si="12"/>
        <v>Valid</v>
      </c>
      <c r="O814">
        <v>0</v>
      </c>
      <c r="Q814">
        <v>51.5</v>
      </c>
    </row>
    <row r="815" spans="1:17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 s="7" t="str">
        <f t="shared" si="12"/>
        <v>Invalid</v>
      </c>
      <c r="O815">
        <v>0</v>
      </c>
      <c r="P815">
        <v>8</v>
      </c>
      <c r="Q815">
        <v>46</v>
      </c>
    </row>
    <row r="816" spans="1:17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 s="7" t="str">
        <f t="shared" si="12"/>
        <v>Valid</v>
      </c>
      <c r="O816">
        <v>0</v>
      </c>
      <c r="Q816">
        <v>81.7</v>
      </c>
    </row>
    <row r="817" spans="1:17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 s="7" t="str">
        <f t="shared" si="12"/>
        <v>Valid</v>
      </c>
      <c r="O817">
        <v>0</v>
      </c>
      <c r="Q817">
        <v>48.3</v>
      </c>
    </row>
    <row r="818" spans="1:17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 s="7" t="str">
        <f t="shared" si="12"/>
        <v>Valid</v>
      </c>
      <c r="O818">
        <v>0</v>
      </c>
      <c r="Q818">
        <v>85.6</v>
      </c>
    </row>
    <row r="819" spans="1:17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 s="7" t="str">
        <f t="shared" si="12"/>
        <v>Valid</v>
      </c>
      <c r="O819">
        <v>0</v>
      </c>
      <c r="Q819">
        <v>53.8</v>
      </c>
    </row>
    <row r="820" spans="1:17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 s="7" t="str">
        <f t="shared" si="12"/>
        <v>Invalid</v>
      </c>
      <c r="O820">
        <v>0</v>
      </c>
      <c r="P820">
        <v>0</v>
      </c>
      <c r="Q820">
        <v>69.7</v>
      </c>
    </row>
    <row r="821" spans="1:17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 s="7" t="str">
        <f t="shared" si="12"/>
        <v>Valid</v>
      </c>
      <c r="O821">
        <v>0</v>
      </c>
      <c r="Q821">
        <v>74.8</v>
      </c>
    </row>
    <row r="822" spans="1:17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s="7" t="str">
        <f t="shared" si="12"/>
        <v>Valid</v>
      </c>
      <c r="O822">
        <v>0</v>
      </c>
      <c r="Q822">
        <v>87.9</v>
      </c>
    </row>
    <row r="823" spans="1:17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 s="7" t="str">
        <f t="shared" si="12"/>
        <v>Valid</v>
      </c>
      <c r="O823">
        <v>0</v>
      </c>
      <c r="Q823">
        <v>49.1</v>
      </c>
    </row>
    <row r="824" spans="1:17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 s="7" t="str">
        <f t="shared" si="12"/>
        <v>Invalid</v>
      </c>
      <c r="O824">
        <v>0</v>
      </c>
      <c r="Q824">
        <v>73</v>
      </c>
    </row>
    <row r="825" spans="1:17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s="7" t="str">
        <f t="shared" si="12"/>
        <v>Valid</v>
      </c>
      <c r="O825">
        <v>0</v>
      </c>
      <c r="Q825">
        <v>79.5</v>
      </c>
    </row>
    <row r="826" spans="1:17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 s="7" t="str">
        <f t="shared" si="12"/>
        <v>Valid</v>
      </c>
      <c r="O826">
        <v>0</v>
      </c>
      <c r="P826">
        <v>6</v>
      </c>
      <c r="Q826">
        <v>93.2</v>
      </c>
    </row>
    <row r="827" spans="1:17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 s="7" t="str">
        <f t="shared" si="12"/>
        <v>Invalid</v>
      </c>
      <c r="O827">
        <v>0</v>
      </c>
      <c r="Q827">
        <v>77.5</v>
      </c>
    </row>
    <row r="828" spans="1:17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 s="7" t="str">
        <f t="shared" si="12"/>
        <v>Valid</v>
      </c>
      <c r="O828">
        <v>0</v>
      </c>
      <c r="Q828">
        <v>61</v>
      </c>
    </row>
    <row r="829" spans="1:17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 s="7" t="str">
        <f t="shared" si="12"/>
        <v>Valid</v>
      </c>
      <c r="O829">
        <v>0</v>
      </c>
      <c r="Q829">
        <v>64.900000000000006</v>
      </c>
    </row>
    <row r="830" spans="1:17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 s="7" t="str">
        <f t="shared" si="12"/>
        <v>Valid</v>
      </c>
      <c r="O830">
        <v>0</v>
      </c>
      <c r="Q830">
        <v>87.5</v>
      </c>
    </row>
    <row r="831" spans="1:17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 s="7" t="str">
        <f t="shared" si="12"/>
        <v>Valid</v>
      </c>
      <c r="O831">
        <v>0</v>
      </c>
      <c r="P831">
        <v>5</v>
      </c>
      <c r="Q831">
        <v>80.599999999999994</v>
      </c>
    </row>
    <row r="832" spans="1:17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 s="7" t="str">
        <f t="shared" si="12"/>
        <v>Valid</v>
      </c>
      <c r="O832">
        <v>0</v>
      </c>
      <c r="Q832">
        <v>66.900000000000006</v>
      </c>
    </row>
    <row r="833" spans="1:17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 s="7" t="str">
        <f t="shared" si="12"/>
        <v>Valid</v>
      </c>
      <c r="O833">
        <v>0</v>
      </c>
      <c r="Q833">
        <v>58.8</v>
      </c>
    </row>
    <row r="834" spans="1:17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 s="7" t="str">
        <f t="shared" si="12"/>
        <v>Valid</v>
      </c>
      <c r="O834">
        <v>0</v>
      </c>
      <c r="P834">
        <v>4</v>
      </c>
      <c r="Q834">
        <v>42.9</v>
      </c>
    </row>
    <row r="835" spans="1:17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 s="7" t="str">
        <f t="shared" ref="N835:N898" si="13">IF(OR(M835=0,M835=1),"Valid","Invalid")</f>
        <v>Valid</v>
      </c>
      <c r="O835">
        <v>0</v>
      </c>
      <c r="Q835">
        <v>60.2</v>
      </c>
    </row>
    <row r="836" spans="1:17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 s="7" t="str">
        <f t="shared" si="13"/>
        <v>Valid</v>
      </c>
      <c r="O836">
        <v>0</v>
      </c>
      <c r="Q836">
        <v>42.7</v>
      </c>
    </row>
    <row r="837" spans="1:17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 s="7" t="str">
        <f t="shared" si="13"/>
        <v>Valid</v>
      </c>
      <c r="O837">
        <v>0</v>
      </c>
      <c r="P837">
        <v>7</v>
      </c>
      <c r="Q837">
        <v>60.8</v>
      </c>
    </row>
    <row r="838" spans="1:17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 s="7" t="str">
        <f t="shared" si="13"/>
        <v>Valid</v>
      </c>
      <c r="O838">
        <v>0</v>
      </c>
      <c r="P838">
        <v>9</v>
      </c>
      <c r="Q838">
        <v>79.3</v>
      </c>
    </row>
    <row r="839" spans="1:17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 s="7" t="str">
        <f t="shared" si="13"/>
        <v>Valid</v>
      </c>
      <c r="O839">
        <v>0</v>
      </c>
      <c r="Q839">
        <v>88.6</v>
      </c>
    </row>
    <row r="840" spans="1:17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 s="7" t="str">
        <f t="shared" si="13"/>
        <v>Valid</v>
      </c>
      <c r="O840">
        <v>0</v>
      </c>
      <c r="Q840">
        <v>63.1</v>
      </c>
    </row>
    <row r="841" spans="1:17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 s="7" t="str">
        <f t="shared" si="13"/>
        <v>Valid</v>
      </c>
      <c r="O841">
        <v>0</v>
      </c>
      <c r="Q841">
        <v>39.700000000000003</v>
      </c>
    </row>
    <row r="842" spans="1:17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s="7" t="str">
        <f t="shared" si="13"/>
        <v>Valid</v>
      </c>
      <c r="O842">
        <v>0</v>
      </c>
      <c r="Q842">
        <v>67.2</v>
      </c>
    </row>
    <row r="843" spans="1:17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 s="7" t="str">
        <f t="shared" si="13"/>
        <v>Valid</v>
      </c>
      <c r="O843">
        <v>0</v>
      </c>
      <c r="Q843">
        <v>62.3</v>
      </c>
    </row>
    <row r="844" spans="1:17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 s="7" t="str">
        <f t="shared" si="13"/>
        <v>Valid</v>
      </c>
      <c r="O844">
        <v>0</v>
      </c>
    </row>
    <row r="845" spans="1:17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s="7" t="str">
        <f t="shared" si="13"/>
        <v>Valid</v>
      </c>
      <c r="O845">
        <v>0</v>
      </c>
      <c r="Q845">
        <v>60.7</v>
      </c>
    </row>
    <row r="846" spans="1:17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 s="7" t="str">
        <f t="shared" si="13"/>
        <v>Valid</v>
      </c>
      <c r="O846">
        <v>0</v>
      </c>
      <c r="Q846">
        <v>61.5</v>
      </c>
    </row>
    <row r="847" spans="1:17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 s="7" t="str">
        <f t="shared" si="13"/>
        <v>Valid</v>
      </c>
      <c r="O847">
        <v>0</v>
      </c>
      <c r="Q847">
        <v>75</v>
      </c>
    </row>
    <row r="848" spans="1:17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 s="7" t="str">
        <f t="shared" si="13"/>
        <v>Valid</v>
      </c>
      <c r="O848">
        <v>0</v>
      </c>
      <c r="Q848">
        <v>51.9</v>
      </c>
    </row>
    <row r="849" spans="1:17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s="7" t="str">
        <f t="shared" si="13"/>
        <v>Valid</v>
      </c>
      <c r="O849">
        <v>0</v>
      </c>
      <c r="Q849">
        <v>34.5</v>
      </c>
    </row>
    <row r="850" spans="1:17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s="7" t="str">
        <f t="shared" si="13"/>
        <v>Valid</v>
      </c>
      <c r="O850">
        <v>0</v>
      </c>
      <c r="Q850">
        <v>54.5</v>
      </c>
    </row>
    <row r="851" spans="1:17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s="7" t="str">
        <f t="shared" si="13"/>
        <v>Valid</v>
      </c>
      <c r="O851">
        <v>0</v>
      </c>
      <c r="Q851">
        <v>46</v>
      </c>
    </row>
    <row r="852" spans="1:17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 s="7" t="str">
        <f t="shared" si="13"/>
        <v>Valid</v>
      </c>
      <c r="O852">
        <v>0</v>
      </c>
      <c r="Q852">
        <v>88.4</v>
      </c>
    </row>
    <row r="853" spans="1:17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 s="7" t="str">
        <f t="shared" si="13"/>
        <v>Valid</v>
      </c>
      <c r="O853">
        <v>0</v>
      </c>
      <c r="Q853">
        <v>69.5</v>
      </c>
    </row>
    <row r="854" spans="1:17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 s="7" t="str">
        <f t="shared" si="13"/>
        <v>Valid</v>
      </c>
      <c r="O854">
        <v>0</v>
      </c>
      <c r="Q854">
        <v>74.2</v>
      </c>
    </row>
    <row r="855" spans="1:17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 s="7" t="str">
        <f t="shared" si="13"/>
        <v>Valid</v>
      </c>
      <c r="O855">
        <v>0</v>
      </c>
      <c r="Q855">
        <v>72.099999999999994</v>
      </c>
    </row>
    <row r="856" spans="1:17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 s="7" t="str">
        <f t="shared" si="13"/>
        <v>Valid</v>
      </c>
      <c r="O856">
        <v>0</v>
      </c>
      <c r="P856">
        <v>5</v>
      </c>
      <c r="Q856">
        <v>85.1</v>
      </c>
    </row>
    <row r="857" spans="1:17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 s="7" t="str">
        <f t="shared" si="13"/>
        <v>Valid</v>
      </c>
      <c r="O857">
        <v>0</v>
      </c>
      <c r="Q857">
        <v>49.5</v>
      </c>
    </row>
    <row r="858" spans="1:17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 s="7" t="str">
        <f t="shared" si="13"/>
        <v>Valid</v>
      </c>
      <c r="O858">
        <v>0</v>
      </c>
      <c r="Q858">
        <v>79</v>
      </c>
    </row>
    <row r="859" spans="1:17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s="7" t="str">
        <f t="shared" si="13"/>
        <v>Valid</v>
      </c>
      <c r="O859">
        <v>0</v>
      </c>
      <c r="Q859">
        <v>71.8</v>
      </c>
    </row>
    <row r="860" spans="1:17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 s="7" t="str">
        <f t="shared" si="13"/>
        <v>Valid</v>
      </c>
      <c r="O860">
        <v>0</v>
      </c>
      <c r="P860">
        <v>6</v>
      </c>
      <c r="Q860">
        <v>60.4</v>
      </c>
    </row>
    <row r="861" spans="1:17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 s="7" t="str">
        <f t="shared" si="13"/>
        <v>Invalid</v>
      </c>
      <c r="O861">
        <v>0</v>
      </c>
      <c r="Q861">
        <v>38.299999999999997</v>
      </c>
    </row>
    <row r="862" spans="1:17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 s="7" t="str">
        <f t="shared" si="13"/>
        <v>Valid</v>
      </c>
      <c r="O862">
        <v>0</v>
      </c>
      <c r="Q862">
        <v>79.599999999999994</v>
      </c>
    </row>
    <row r="863" spans="1:17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 s="7" t="str">
        <f t="shared" si="13"/>
        <v>Valid</v>
      </c>
      <c r="O863">
        <v>0</v>
      </c>
      <c r="Q863">
        <v>71.900000000000006</v>
      </c>
    </row>
    <row r="864" spans="1:17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 s="7" t="str">
        <f t="shared" si="13"/>
        <v>Valid</v>
      </c>
      <c r="O864">
        <v>0</v>
      </c>
      <c r="Q864">
        <v>54.6</v>
      </c>
    </row>
    <row r="865" spans="1:17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 s="7" t="str">
        <f t="shared" si="13"/>
        <v>Invalid</v>
      </c>
      <c r="O865">
        <v>0</v>
      </c>
      <c r="Q865">
        <v>49.3</v>
      </c>
    </row>
    <row r="866" spans="1:17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 s="7" t="str">
        <f t="shared" si="13"/>
        <v>Valid</v>
      </c>
      <c r="O866">
        <v>0</v>
      </c>
      <c r="Q866">
        <v>66.900000000000006</v>
      </c>
    </row>
    <row r="867" spans="1:17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 s="7" t="str">
        <f t="shared" si="13"/>
        <v>Valid</v>
      </c>
      <c r="O867">
        <v>0</v>
      </c>
      <c r="Q867">
        <v>77.8</v>
      </c>
    </row>
    <row r="868" spans="1:17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 s="7" t="str">
        <f t="shared" si="13"/>
        <v>Valid</v>
      </c>
      <c r="O868">
        <v>0</v>
      </c>
      <c r="Q868">
        <v>63</v>
      </c>
    </row>
    <row r="869" spans="1:17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s="7" t="str">
        <f t="shared" si="13"/>
        <v>Valid</v>
      </c>
      <c r="O869">
        <v>0</v>
      </c>
      <c r="Q869">
        <v>79.8</v>
      </c>
    </row>
    <row r="870" spans="1:17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s="7" t="str">
        <f t="shared" si="13"/>
        <v>Valid</v>
      </c>
      <c r="O870">
        <v>0</v>
      </c>
      <c r="Q870">
        <v>69.900000000000006</v>
      </c>
    </row>
    <row r="871" spans="1:17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 s="7" t="str">
        <f t="shared" si="13"/>
        <v>Valid</v>
      </c>
      <c r="O871">
        <v>0</v>
      </c>
      <c r="Q871">
        <v>66.400000000000006</v>
      </c>
    </row>
    <row r="872" spans="1:17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 s="7" t="str">
        <f t="shared" si="13"/>
        <v>Valid</v>
      </c>
      <c r="O872">
        <v>0</v>
      </c>
      <c r="Q872">
        <v>27.6</v>
      </c>
    </row>
    <row r="873" spans="1:17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 s="7" t="str">
        <f t="shared" si="13"/>
        <v>Valid</v>
      </c>
      <c r="O873">
        <v>0</v>
      </c>
      <c r="Q873">
        <v>56.5</v>
      </c>
    </row>
    <row r="874" spans="1:17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 s="7" t="str">
        <f t="shared" si="13"/>
        <v>Valid</v>
      </c>
      <c r="O874">
        <v>0</v>
      </c>
      <c r="Q874">
        <v>67.8</v>
      </c>
    </row>
    <row r="875" spans="1:17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 s="7" t="str">
        <f t="shared" si="13"/>
        <v>Valid</v>
      </c>
      <c r="O875">
        <v>0</v>
      </c>
      <c r="Q875">
        <v>80</v>
      </c>
    </row>
    <row r="876" spans="1:17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 s="7" t="str">
        <f t="shared" si="13"/>
        <v>Valid</v>
      </c>
      <c r="O876">
        <v>0</v>
      </c>
      <c r="Q876">
        <v>80.900000000000006</v>
      </c>
    </row>
    <row r="877" spans="1:17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s="7" t="str">
        <f t="shared" si="13"/>
        <v>Valid</v>
      </c>
      <c r="O877">
        <v>0</v>
      </c>
      <c r="Q877">
        <v>34.5</v>
      </c>
    </row>
    <row r="878" spans="1:17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 s="7" t="str">
        <f t="shared" si="13"/>
        <v>Valid</v>
      </c>
      <c r="O878">
        <v>0</v>
      </c>
      <c r="Q878">
        <v>73.5</v>
      </c>
    </row>
    <row r="879" spans="1:17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 s="7" t="str">
        <f t="shared" si="13"/>
        <v>Valid</v>
      </c>
      <c r="O879">
        <v>0</v>
      </c>
      <c r="Q879">
        <v>70</v>
      </c>
    </row>
    <row r="880" spans="1:17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s="7" t="str">
        <f t="shared" si="13"/>
        <v>Valid</v>
      </c>
      <c r="O880">
        <v>0</v>
      </c>
      <c r="Q880">
        <v>86.9</v>
      </c>
    </row>
    <row r="881" spans="1:17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s="7" t="str">
        <f t="shared" si="13"/>
        <v>Valid</v>
      </c>
      <c r="O881">
        <v>0</v>
      </c>
      <c r="Q881">
        <v>66.900000000000006</v>
      </c>
    </row>
    <row r="882" spans="1:17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 s="7" t="str">
        <f t="shared" si="13"/>
        <v>Valid</v>
      </c>
      <c r="O882">
        <v>0</v>
      </c>
      <c r="Q882">
        <v>58.3</v>
      </c>
    </row>
    <row r="883" spans="1:17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 s="7" t="str">
        <f t="shared" si="13"/>
        <v>Valid</v>
      </c>
      <c r="O883">
        <v>0</v>
      </c>
      <c r="Q883">
        <v>45</v>
      </c>
    </row>
    <row r="884" spans="1:17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s="7" t="str">
        <f t="shared" si="13"/>
        <v>Valid</v>
      </c>
      <c r="O884">
        <v>0</v>
      </c>
      <c r="Q884">
        <v>60.8</v>
      </c>
    </row>
    <row r="885" spans="1:17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 s="7" t="str">
        <f t="shared" si="13"/>
        <v>Invalid</v>
      </c>
      <c r="O885">
        <v>0</v>
      </c>
      <c r="Q885">
        <v>53.7</v>
      </c>
    </row>
    <row r="886" spans="1:17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 s="7" t="str">
        <f t="shared" si="13"/>
        <v>Valid</v>
      </c>
      <c r="O886">
        <v>0</v>
      </c>
      <c r="Q886">
        <v>48.8</v>
      </c>
    </row>
    <row r="887" spans="1:17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s="7" t="str">
        <f t="shared" si="13"/>
        <v>Valid</v>
      </c>
      <c r="O887">
        <v>0</v>
      </c>
      <c r="Q887">
        <v>52.9</v>
      </c>
    </row>
    <row r="888" spans="1:17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 s="7" t="str">
        <f t="shared" si="13"/>
        <v>Valid</v>
      </c>
      <c r="O888">
        <v>0</v>
      </c>
      <c r="Q888">
        <v>42.4</v>
      </c>
    </row>
    <row r="889" spans="1:17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 s="7" t="str">
        <f t="shared" si="13"/>
        <v>Valid</v>
      </c>
      <c r="O889">
        <v>0</v>
      </c>
      <c r="Q889">
        <v>58.7</v>
      </c>
    </row>
    <row r="890" spans="1:17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 s="7" t="str">
        <f t="shared" si="13"/>
        <v>Valid</v>
      </c>
      <c r="O890">
        <v>0</v>
      </c>
      <c r="P890">
        <v>1</v>
      </c>
      <c r="Q890">
        <v>67.8</v>
      </c>
    </row>
    <row r="891" spans="1:17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 s="7" t="str">
        <f t="shared" si="13"/>
        <v>Valid</v>
      </c>
      <c r="O891">
        <v>0</v>
      </c>
      <c r="Q891">
        <v>62.6</v>
      </c>
    </row>
    <row r="892" spans="1:17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 s="7" t="str">
        <f t="shared" si="13"/>
        <v>Valid</v>
      </c>
      <c r="O892">
        <v>0</v>
      </c>
      <c r="Q892">
        <v>82.4</v>
      </c>
    </row>
    <row r="893" spans="1:17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 s="7" t="str">
        <f t="shared" si="13"/>
        <v>Valid</v>
      </c>
      <c r="O893">
        <v>0</v>
      </c>
      <c r="Q893">
        <v>50.4</v>
      </c>
    </row>
    <row r="894" spans="1:17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s="7" t="str">
        <f t="shared" si="13"/>
        <v>Valid</v>
      </c>
      <c r="O894">
        <v>0</v>
      </c>
      <c r="Q894">
        <v>68.400000000000006</v>
      </c>
    </row>
    <row r="895" spans="1:17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 s="7" t="str">
        <f t="shared" si="13"/>
        <v>Valid</v>
      </c>
      <c r="O895">
        <v>0</v>
      </c>
      <c r="Q895">
        <v>58.8</v>
      </c>
    </row>
    <row r="896" spans="1:17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 s="7" t="str">
        <f t="shared" si="13"/>
        <v>Invalid</v>
      </c>
      <c r="O896">
        <v>0</v>
      </c>
      <c r="Q896">
        <v>28.3</v>
      </c>
    </row>
    <row r="897" spans="1:17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 s="7" t="str">
        <f t="shared" si="13"/>
        <v>Valid</v>
      </c>
      <c r="O897">
        <v>0</v>
      </c>
      <c r="Q897">
        <v>44.1</v>
      </c>
    </row>
    <row r="898" spans="1:17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 s="7" t="str">
        <f t="shared" si="13"/>
        <v>Valid</v>
      </c>
      <c r="O898">
        <v>0</v>
      </c>
      <c r="Q898">
        <v>66.7</v>
      </c>
    </row>
    <row r="899" spans="1:17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 s="7" t="str">
        <f t="shared" ref="N899:N962" si="14">IF(OR(M899=0,M899=1),"Valid","Invalid")</f>
        <v>Valid</v>
      </c>
      <c r="O899">
        <v>0</v>
      </c>
      <c r="Q899">
        <v>100</v>
      </c>
    </row>
    <row r="900" spans="1:17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 s="7" t="str">
        <f t="shared" si="14"/>
        <v>Valid</v>
      </c>
      <c r="O900">
        <v>0</v>
      </c>
      <c r="Q900">
        <v>87.5</v>
      </c>
    </row>
    <row r="901" spans="1:17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 s="7" t="str">
        <f t="shared" si="14"/>
        <v>Invalid</v>
      </c>
      <c r="O901">
        <v>0</v>
      </c>
      <c r="Q901">
        <v>65.400000000000006</v>
      </c>
    </row>
    <row r="902" spans="1:17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 s="7" t="str">
        <f t="shared" si="14"/>
        <v>Valid</v>
      </c>
      <c r="O902">
        <v>0</v>
      </c>
      <c r="Q902">
        <v>22.9</v>
      </c>
    </row>
    <row r="903" spans="1:17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s="7" t="str">
        <f t="shared" si="14"/>
        <v>Valid</v>
      </c>
      <c r="O903">
        <v>0</v>
      </c>
      <c r="Q903">
        <v>64.599999999999994</v>
      </c>
    </row>
    <row r="904" spans="1:17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 s="7" t="str">
        <f t="shared" si="14"/>
        <v>Invalid</v>
      </c>
      <c r="O904">
        <v>0</v>
      </c>
      <c r="Q904">
        <v>54.4</v>
      </c>
    </row>
    <row r="905" spans="1:17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 s="7" t="str">
        <f t="shared" si="14"/>
        <v>Valid</v>
      </c>
      <c r="O905">
        <v>0</v>
      </c>
      <c r="Q905">
        <v>56.8</v>
      </c>
    </row>
    <row r="906" spans="1:17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 s="7" t="str">
        <f t="shared" si="14"/>
        <v>Valid</v>
      </c>
      <c r="O906">
        <v>0</v>
      </c>
      <c r="P906">
        <v>2</v>
      </c>
      <c r="Q906">
        <v>63.6</v>
      </c>
    </row>
    <row r="907" spans="1:17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 s="7" t="str">
        <f t="shared" si="14"/>
        <v>Valid</v>
      </c>
      <c r="O907">
        <v>0</v>
      </c>
      <c r="Q907">
        <v>58.2</v>
      </c>
    </row>
    <row r="908" spans="1:17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 s="7" t="str">
        <f t="shared" si="14"/>
        <v>Valid</v>
      </c>
      <c r="O908">
        <v>0</v>
      </c>
      <c r="Q908">
        <v>54.6</v>
      </c>
    </row>
    <row r="909" spans="1:17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 s="7" t="str">
        <f t="shared" si="14"/>
        <v>Valid</v>
      </c>
      <c r="O909">
        <v>0</v>
      </c>
      <c r="Q909">
        <v>81.900000000000006</v>
      </c>
    </row>
    <row r="910" spans="1:17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 s="7" t="str">
        <f t="shared" si="14"/>
        <v>Invalid</v>
      </c>
      <c r="O910">
        <v>0</v>
      </c>
      <c r="Q910">
        <v>53.3</v>
      </c>
    </row>
    <row r="911" spans="1:17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s="7" t="str">
        <f t="shared" si="14"/>
        <v>Valid</v>
      </c>
      <c r="O911">
        <v>0</v>
      </c>
      <c r="Q911">
        <v>54.2</v>
      </c>
    </row>
    <row r="912" spans="1:17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 s="7" t="str">
        <f t="shared" si="14"/>
        <v>Valid</v>
      </c>
      <c r="O912">
        <v>0</v>
      </c>
      <c r="Q912">
        <v>65.599999999999994</v>
      </c>
    </row>
    <row r="913" spans="1:17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 s="7" t="str">
        <f t="shared" si="14"/>
        <v>Valid</v>
      </c>
      <c r="O913">
        <v>0</v>
      </c>
      <c r="Q913">
        <v>56.5</v>
      </c>
    </row>
    <row r="914" spans="1:17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 s="7" t="str">
        <f t="shared" si="14"/>
        <v>Valid</v>
      </c>
      <c r="O914">
        <v>0</v>
      </c>
      <c r="Q914">
        <v>59.7</v>
      </c>
    </row>
    <row r="915" spans="1:17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 s="7" t="str">
        <f t="shared" si="14"/>
        <v>Valid</v>
      </c>
      <c r="O915">
        <v>0</v>
      </c>
      <c r="Q915">
        <v>72.5</v>
      </c>
    </row>
    <row r="916" spans="1:17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 s="7" t="str">
        <f t="shared" si="14"/>
        <v>Valid</v>
      </c>
      <c r="O916">
        <v>0</v>
      </c>
      <c r="Q916">
        <v>64.3</v>
      </c>
    </row>
    <row r="917" spans="1:17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 s="7" t="str">
        <f t="shared" si="14"/>
        <v>Valid</v>
      </c>
      <c r="O917">
        <v>0</v>
      </c>
      <c r="Q917">
        <v>64.5</v>
      </c>
    </row>
    <row r="918" spans="1:17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 s="7" t="str">
        <f t="shared" si="14"/>
        <v>Valid</v>
      </c>
      <c r="O918">
        <v>0</v>
      </c>
      <c r="Q918">
        <v>70.599999999999994</v>
      </c>
    </row>
    <row r="919" spans="1:17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s="7" t="str">
        <f t="shared" si="14"/>
        <v>Valid</v>
      </c>
      <c r="O919">
        <v>0</v>
      </c>
      <c r="Q919">
        <v>58.4</v>
      </c>
    </row>
    <row r="920" spans="1:17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 s="7" t="str">
        <f t="shared" si="14"/>
        <v>Valid</v>
      </c>
      <c r="O920">
        <v>0</v>
      </c>
      <c r="Q920">
        <v>56.6</v>
      </c>
    </row>
    <row r="921" spans="1:17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 s="7" t="str">
        <f t="shared" si="14"/>
        <v>Valid</v>
      </c>
      <c r="O921">
        <v>0</v>
      </c>
      <c r="Q921">
        <v>61.8</v>
      </c>
    </row>
    <row r="922" spans="1:17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 s="7" t="str">
        <f t="shared" si="14"/>
        <v>Valid</v>
      </c>
      <c r="O922">
        <v>0</v>
      </c>
      <c r="P922">
        <v>8</v>
      </c>
      <c r="Q922">
        <v>43.4</v>
      </c>
    </row>
    <row r="923" spans="1:17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s="7" t="str">
        <f t="shared" si="14"/>
        <v>Valid</v>
      </c>
      <c r="O923">
        <v>0</v>
      </c>
      <c r="Q923">
        <v>43</v>
      </c>
    </row>
    <row r="924" spans="1:17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 s="7" t="str">
        <f t="shared" si="14"/>
        <v>Valid</v>
      </c>
      <c r="O924">
        <v>0</v>
      </c>
      <c r="Q924">
        <v>51.1</v>
      </c>
    </row>
    <row r="925" spans="1:17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 s="7" t="str">
        <f t="shared" si="14"/>
        <v>Valid</v>
      </c>
      <c r="O925">
        <v>0</v>
      </c>
      <c r="Q925">
        <v>48.8</v>
      </c>
    </row>
    <row r="926" spans="1:17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s="7" t="str">
        <f t="shared" si="14"/>
        <v>Valid</v>
      </c>
      <c r="O926">
        <v>0</v>
      </c>
      <c r="Q926">
        <v>73.2</v>
      </c>
    </row>
    <row r="927" spans="1:17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 s="7" t="str">
        <f t="shared" si="14"/>
        <v>Valid</v>
      </c>
      <c r="O927">
        <v>0</v>
      </c>
      <c r="Q927">
        <v>80</v>
      </c>
    </row>
    <row r="928" spans="1:17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 s="7" t="str">
        <f t="shared" si="14"/>
        <v>Valid</v>
      </c>
      <c r="O928">
        <v>0</v>
      </c>
      <c r="Q928">
        <v>52.3</v>
      </c>
    </row>
    <row r="929" spans="1:17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s="7" t="str">
        <f t="shared" si="14"/>
        <v>Valid</v>
      </c>
      <c r="O929">
        <v>0</v>
      </c>
      <c r="Q929">
        <v>49.1</v>
      </c>
    </row>
    <row r="930" spans="1:17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s="7" t="str">
        <f t="shared" si="14"/>
        <v>Valid</v>
      </c>
      <c r="O930">
        <v>0</v>
      </c>
      <c r="Q930">
        <v>45.3</v>
      </c>
    </row>
    <row r="931" spans="1:17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 s="7" t="str">
        <f t="shared" si="14"/>
        <v>Valid</v>
      </c>
      <c r="O931">
        <v>0</v>
      </c>
      <c r="Q931">
        <v>49.1</v>
      </c>
    </row>
    <row r="932" spans="1:17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 s="7" t="str">
        <f t="shared" si="14"/>
        <v>Valid</v>
      </c>
      <c r="O932">
        <v>0</v>
      </c>
      <c r="P932">
        <v>3</v>
      </c>
      <c r="Q932">
        <v>88.6</v>
      </c>
    </row>
    <row r="933" spans="1:17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 s="7" t="str">
        <f t="shared" si="14"/>
        <v>Valid</v>
      </c>
      <c r="O933">
        <v>0</v>
      </c>
      <c r="Q933">
        <v>54.4</v>
      </c>
    </row>
    <row r="934" spans="1:17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 s="7" t="str">
        <f t="shared" si="14"/>
        <v>Valid</v>
      </c>
      <c r="O934">
        <v>0</v>
      </c>
      <c r="Q934">
        <v>72.900000000000006</v>
      </c>
    </row>
    <row r="935" spans="1:17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 s="7" t="str">
        <f t="shared" si="14"/>
        <v>Valid</v>
      </c>
      <c r="O935">
        <v>0</v>
      </c>
      <c r="Q935">
        <v>53.2</v>
      </c>
    </row>
    <row r="936" spans="1:17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 s="7" t="str">
        <f t="shared" si="14"/>
        <v>Valid</v>
      </c>
      <c r="O936">
        <v>0</v>
      </c>
      <c r="Q936">
        <v>48.7</v>
      </c>
    </row>
    <row r="937" spans="1:17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 s="7" t="str">
        <f t="shared" si="14"/>
        <v>Valid</v>
      </c>
      <c r="O937">
        <v>0</v>
      </c>
      <c r="Q937">
        <v>59.9</v>
      </c>
    </row>
    <row r="938" spans="1:17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s="7" t="str">
        <f t="shared" si="14"/>
        <v>Valid</v>
      </c>
      <c r="O938">
        <v>0</v>
      </c>
      <c r="Q938">
        <v>82</v>
      </c>
    </row>
    <row r="939" spans="1:17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s="7" t="str">
        <f t="shared" si="14"/>
        <v>Valid</v>
      </c>
      <c r="O939">
        <v>0</v>
      </c>
      <c r="Q939">
        <v>72.099999999999994</v>
      </c>
    </row>
    <row r="940" spans="1:17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 s="7" t="str">
        <f t="shared" si="14"/>
        <v>Valid</v>
      </c>
      <c r="O940">
        <v>0</v>
      </c>
      <c r="Q940">
        <v>68.3</v>
      </c>
    </row>
    <row r="941" spans="1:17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s="7" t="str">
        <f t="shared" si="14"/>
        <v>Valid</v>
      </c>
      <c r="O941">
        <v>0</v>
      </c>
      <c r="Q941">
        <v>100</v>
      </c>
    </row>
    <row r="942" spans="1:17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 s="7" t="str">
        <f t="shared" si="14"/>
        <v>Invalid</v>
      </c>
      <c r="O942">
        <v>0</v>
      </c>
      <c r="Q942">
        <v>76.5</v>
      </c>
    </row>
    <row r="943" spans="1:17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 s="7" t="str">
        <f t="shared" si="14"/>
        <v>Valid</v>
      </c>
      <c r="O943">
        <v>0</v>
      </c>
      <c r="Q943">
        <v>62</v>
      </c>
    </row>
    <row r="944" spans="1:17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 s="7" t="str">
        <f t="shared" si="14"/>
        <v>Valid</v>
      </c>
      <c r="O944">
        <v>0</v>
      </c>
      <c r="P944">
        <v>7</v>
      </c>
      <c r="Q944">
        <v>50.1</v>
      </c>
    </row>
    <row r="945" spans="1:17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 s="7" t="str">
        <f t="shared" si="14"/>
        <v>Valid</v>
      </c>
      <c r="O945">
        <v>0</v>
      </c>
      <c r="Q945">
        <v>62.1</v>
      </c>
    </row>
    <row r="946" spans="1:17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 s="7" t="str">
        <f t="shared" si="14"/>
        <v>Valid</v>
      </c>
      <c r="O946">
        <v>0</v>
      </c>
      <c r="Q946">
        <v>49.7</v>
      </c>
    </row>
    <row r="947" spans="1:17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 s="7" t="str">
        <f t="shared" si="14"/>
        <v>Invalid</v>
      </c>
      <c r="O947">
        <v>0</v>
      </c>
      <c r="Q947">
        <v>71.099999999999994</v>
      </c>
    </row>
    <row r="948" spans="1:17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s="7" t="str">
        <f t="shared" si="14"/>
        <v>Valid</v>
      </c>
      <c r="O948">
        <v>0</v>
      </c>
      <c r="Q948">
        <v>70.8</v>
      </c>
    </row>
    <row r="949" spans="1:17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 s="7" t="str">
        <f t="shared" si="14"/>
        <v>Valid</v>
      </c>
      <c r="O949">
        <v>0</v>
      </c>
      <c r="P949">
        <v>10</v>
      </c>
      <c r="Q949">
        <v>52.2</v>
      </c>
    </row>
    <row r="950" spans="1:17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 s="7" t="str">
        <f t="shared" si="14"/>
        <v>Valid</v>
      </c>
      <c r="O950">
        <v>0</v>
      </c>
      <c r="Q950">
        <v>73</v>
      </c>
    </row>
    <row r="951" spans="1:17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s="7" t="str">
        <f t="shared" si="14"/>
        <v>Valid</v>
      </c>
      <c r="O951">
        <v>0</v>
      </c>
      <c r="Q951">
        <v>78.2</v>
      </c>
    </row>
    <row r="952" spans="1:17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 s="7" t="str">
        <f t="shared" si="14"/>
        <v>Valid</v>
      </c>
      <c r="O952">
        <v>0</v>
      </c>
      <c r="Q952">
        <v>68.8</v>
      </c>
    </row>
    <row r="953" spans="1:17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 s="7" t="str">
        <f t="shared" si="14"/>
        <v>Valid</v>
      </c>
      <c r="O953">
        <v>0</v>
      </c>
      <c r="Q953">
        <v>57.1</v>
      </c>
    </row>
    <row r="954" spans="1:17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 s="7" t="str">
        <f t="shared" si="14"/>
        <v>Valid</v>
      </c>
      <c r="O954">
        <v>0</v>
      </c>
      <c r="Q954">
        <v>74.599999999999994</v>
      </c>
    </row>
    <row r="955" spans="1:17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 s="7" t="str">
        <f t="shared" si="14"/>
        <v>Valid</v>
      </c>
      <c r="O955">
        <v>0</v>
      </c>
      <c r="Q955">
        <v>64.099999999999994</v>
      </c>
    </row>
    <row r="956" spans="1:17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 s="7" t="str">
        <f t="shared" si="14"/>
        <v>Valid</v>
      </c>
      <c r="O956">
        <v>0</v>
      </c>
      <c r="Q956">
        <v>67.3</v>
      </c>
    </row>
    <row r="957" spans="1:17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 s="7" t="str">
        <f t="shared" si="14"/>
        <v>Invalid</v>
      </c>
      <c r="O957">
        <v>0</v>
      </c>
      <c r="Q957">
        <v>41</v>
      </c>
    </row>
    <row r="958" spans="1:17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s="7" t="str">
        <f t="shared" si="14"/>
        <v>Valid</v>
      </c>
      <c r="O958">
        <v>0</v>
      </c>
      <c r="Q958">
        <v>48.1</v>
      </c>
    </row>
    <row r="959" spans="1:17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 s="7" t="str">
        <f t="shared" si="14"/>
        <v>Valid</v>
      </c>
      <c r="O959">
        <v>0</v>
      </c>
      <c r="Q959">
        <v>60.8</v>
      </c>
    </row>
    <row r="960" spans="1:17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 s="7" t="str">
        <f t="shared" si="14"/>
        <v>Valid</v>
      </c>
      <c r="O960">
        <v>0</v>
      </c>
      <c r="Q960">
        <v>63.1</v>
      </c>
    </row>
    <row r="961" spans="1:17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 s="7" t="str">
        <f t="shared" si="14"/>
        <v>Invalid</v>
      </c>
      <c r="O961">
        <v>0</v>
      </c>
      <c r="Q961">
        <v>49.7</v>
      </c>
    </row>
    <row r="962" spans="1:17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 s="7" t="str">
        <f t="shared" si="14"/>
        <v>Valid</v>
      </c>
      <c r="O962">
        <v>0</v>
      </c>
      <c r="Q962">
        <v>83.4</v>
      </c>
    </row>
    <row r="963" spans="1:17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 s="7" t="str">
        <f t="shared" ref="N963:N1026" si="15">IF(OR(M963=0,M963=1),"Valid","Invalid")</f>
        <v>Valid</v>
      </c>
      <c r="O963">
        <v>0</v>
      </c>
      <c r="Q963">
        <v>75.900000000000006</v>
      </c>
    </row>
    <row r="964" spans="1:17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s="7" t="str">
        <f t="shared" si="15"/>
        <v>Valid</v>
      </c>
      <c r="O964">
        <v>0</v>
      </c>
      <c r="Q964">
        <v>71.8</v>
      </c>
    </row>
    <row r="965" spans="1:17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s="7" t="str">
        <f t="shared" si="15"/>
        <v>Valid</v>
      </c>
      <c r="O965">
        <v>0</v>
      </c>
      <c r="Q965">
        <v>37.9</v>
      </c>
    </row>
    <row r="966" spans="1:17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 s="7" t="str">
        <f t="shared" si="15"/>
        <v>Valid</v>
      </c>
      <c r="O966">
        <v>0</v>
      </c>
      <c r="Q966">
        <v>59.8</v>
      </c>
    </row>
    <row r="967" spans="1:17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s="7" t="str">
        <f t="shared" si="15"/>
        <v>Valid</v>
      </c>
      <c r="O967">
        <v>0</v>
      </c>
      <c r="Q967">
        <v>66.900000000000006</v>
      </c>
    </row>
    <row r="968" spans="1:17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 s="7" t="str">
        <f t="shared" si="15"/>
        <v>Valid</v>
      </c>
      <c r="O968">
        <v>0</v>
      </c>
      <c r="Q968">
        <v>59</v>
      </c>
    </row>
    <row r="969" spans="1:17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 s="7" t="str">
        <f t="shared" si="15"/>
        <v>Valid</v>
      </c>
      <c r="O969">
        <v>0</v>
      </c>
      <c r="Q969">
        <v>80.099999999999994</v>
      </c>
    </row>
    <row r="970" spans="1:17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s="7" t="str">
        <f t="shared" si="15"/>
        <v>Valid</v>
      </c>
      <c r="O970">
        <v>0</v>
      </c>
      <c r="Q970">
        <v>64.3</v>
      </c>
    </row>
    <row r="971" spans="1:17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 s="7" t="str">
        <f t="shared" si="15"/>
        <v>Valid</v>
      </c>
      <c r="O971">
        <v>0</v>
      </c>
      <c r="Q971">
        <v>57.4</v>
      </c>
    </row>
    <row r="972" spans="1:17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 s="7" t="str">
        <f t="shared" si="15"/>
        <v>Valid</v>
      </c>
      <c r="O972">
        <v>0</v>
      </c>
      <c r="Q972">
        <v>83.6</v>
      </c>
    </row>
    <row r="973" spans="1:17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s="7" t="str">
        <f t="shared" si="15"/>
        <v>Valid</v>
      </c>
      <c r="O973">
        <v>0</v>
      </c>
      <c r="Q973">
        <v>45.8</v>
      </c>
    </row>
    <row r="974" spans="1:17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 s="7" t="str">
        <f t="shared" si="15"/>
        <v>Valid</v>
      </c>
      <c r="O974">
        <v>0</v>
      </c>
      <c r="Q974">
        <v>64.3</v>
      </c>
    </row>
    <row r="975" spans="1:17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 s="7" t="str">
        <f t="shared" si="15"/>
        <v>Valid</v>
      </c>
      <c r="O975">
        <v>0</v>
      </c>
      <c r="Q975">
        <v>80.5</v>
      </c>
    </row>
    <row r="976" spans="1:17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 s="7" t="str">
        <f t="shared" si="15"/>
        <v>Valid</v>
      </c>
      <c r="O976">
        <v>0</v>
      </c>
      <c r="Q976">
        <v>46.3</v>
      </c>
    </row>
    <row r="977" spans="1:17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 s="7" t="str">
        <f t="shared" si="15"/>
        <v>Valid</v>
      </c>
      <c r="O977">
        <v>0</v>
      </c>
      <c r="Q977">
        <v>71.599999999999994</v>
      </c>
    </row>
    <row r="978" spans="1:17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 s="7" t="str">
        <f t="shared" si="15"/>
        <v>Valid</v>
      </c>
      <c r="O978">
        <v>0</v>
      </c>
      <c r="Q978">
        <v>57.8</v>
      </c>
    </row>
    <row r="979" spans="1:17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 s="7" t="str">
        <f t="shared" si="15"/>
        <v>Valid</v>
      </c>
      <c r="O979">
        <v>0</v>
      </c>
      <c r="Q979">
        <v>57.8</v>
      </c>
    </row>
    <row r="980" spans="1:17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 s="7" t="str">
        <f t="shared" si="15"/>
        <v>Valid</v>
      </c>
      <c r="O980">
        <v>0</v>
      </c>
      <c r="Q980">
        <v>38.299999999999997</v>
      </c>
    </row>
    <row r="981" spans="1:17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 s="7" t="str">
        <f t="shared" si="15"/>
        <v>Valid</v>
      </c>
      <c r="O981">
        <v>0</v>
      </c>
      <c r="Q981">
        <v>66.099999999999994</v>
      </c>
    </row>
    <row r="982" spans="1:17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 s="7" t="str">
        <f t="shared" si="15"/>
        <v>Valid</v>
      </c>
      <c r="O982">
        <v>0</v>
      </c>
      <c r="Q982">
        <v>66.5</v>
      </c>
    </row>
    <row r="983" spans="1:17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 s="7" t="str">
        <f t="shared" si="15"/>
        <v>Invalid</v>
      </c>
      <c r="O983">
        <v>0</v>
      </c>
      <c r="Q983">
        <v>51.5</v>
      </c>
    </row>
    <row r="984" spans="1:17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 s="7" t="str">
        <f t="shared" si="15"/>
        <v>Valid</v>
      </c>
      <c r="O984">
        <v>0</v>
      </c>
      <c r="Q984">
        <v>59.9</v>
      </c>
    </row>
    <row r="985" spans="1:17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 s="7" t="str">
        <f t="shared" si="15"/>
        <v>Valid</v>
      </c>
      <c r="O985">
        <v>0</v>
      </c>
      <c r="Q985">
        <v>58.8</v>
      </c>
    </row>
    <row r="986" spans="1:17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 s="7" t="str">
        <f t="shared" si="15"/>
        <v>Valid</v>
      </c>
      <c r="O986">
        <v>0</v>
      </c>
      <c r="Q986">
        <v>69.599999999999994</v>
      </c>
    </row>
    <row r="987" spans="1:17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 s="7" t="str">
        <f t="shared" si="15"/>
        <v>Valid</v>
      </c>
      <c r="O987">
        <v>0</v>
      </c>
      <c r="Q987">
        <v>77.5</v>
      </c>
    </row>
    <row r="988" spans="1:17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 s="7" t="str">
        <f t="shared" si="15"/>
        <v>Invalid</v>
      </c>
      <c r="O988">
        <v>0</v>
      </c>
      <c r="Q988">
        <v>57.5</v>
      </c>
    </row>
    <row r="989" spans="1:17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 s="7" t="str">
        <f t="shared" si="15"/>
        <v>Valid</v>
      </c>
      <c r="O989">
        <v>0</v>
      </c>
      <c r="Q989">
        <v>64.2</v>
      </c>
    </row>
    <row r="990" spans="1:17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s="7" t="str">
        <f t="shared" si="15"/>
        <v>Valid</v>
      </c>
      <c r="O990">
        <v>0</v>
      </c>
      <c r="Q990">
        <v>60</v>
      </c>
    </row>
    <row r="991" spans="1:17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 s="7" t="str">
        <f t="shared" si="15"/>
        <v>Valid</v>
      </c>
      <c r="O991">
        <v>0</v>
      </c>
      <c r="Q991">
        <v>43.7</v>
      </c>
    </row>
    <row r="992" spans="1:17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 s="7" t="str">
        <f t="shared" si="15"/>
        <v>Valid</v>
      </c>
      <c r="O992">
        <v>0</v>
      </c>
      <c r="Q992">
        <v>64.900000000000006</v>
      </c>
    </row>
    <row r="993" spans="1:17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 s="7" t="str">
        <f t="shared" si="15"/>
        <v>Valid</v>
      </c>
      <c r="O993">
        <v>0</v>
      </c>
      <c r="Q993">
        <v>45.5</v>
      </c>
    </row>
    <row r="994" spans="1:17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 s="7" t="str">
        <f t="shared" si="15"/>
        <v>Valid</v>
      </c>
      <c r="O994">
        <v>0</v>
      </c>
      <c r="P994">
        <v>8</v>
      </c>
      <c r="Q994">
        <v>61.2</v>
      </c>
    </row>
    <row r="995" spans="1:17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s="7" t="str">
        <f t="shared" si="15"/>
        <v>Valid</v>
      </c>
      <c r="O995">
        <v>0</v>
      </c>
      <c r="Q995">
        <v>87.8</v>
      </c>
    </row>
    <row r="996" spans="1:17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s="7" t="str">
        <f t="shared" si="15"/>
        <v>Valid</v>
      </c>
      <c r="O996">
        <v>0</v>
      </c>
      <c r="Q996">
        <v>86.4</v>
      </c>
    </row>
    <row r="997" spans="1:17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 s="7" t="str">
        <f t="shared" si="15"/>
        <v>Valid</v>
      </c>
      <c r="O997">
        <v>0</v>
      </c>
      <c r="Q997">
        <v>71.400000000000006</v>
      </c>
    </row>
    <row r="998" spans="1:17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 s="7" t="str">
        <f t="shared" si="15"/>
        <v>Valid</v>
      </c>
      <c r="O998">
        <v>1</v>
      </c>
      <c r="P998">
        <v>8</v>
      </c>
      <c r="Q998">
        <v>72.2</v>
      </c>
    </row>
    <row r="999" spans="1:17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 s="7" t="str">
        <f t="shared" si="15"/>
        <v>Valid</v>
      </c>
      <c r="O999">
        <v>0</v>
      </c>
      <c r="Q999">
        <v>51.9</v>
      </c>
    </row>
    <row r="1000" spans="1:17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 s="7" t="str">
        <f t="shared" si="15"/>
        <v>Valid</v>
      </c>
      <c r="O1000">
        <v>0</v>
      </c>
      <c r="Q1000">
        <v>70.3</v>
      </c>
    </row>
    <row r="1001" spans="1:17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 s="7" t="str">
        <f t="shared" si="15"/>
        <v>Valid</v>
      </c>
      <c r="O1001">
        <v>0</v>
      </c>
      <c r="Q1001">
        <v>49.2</v>
      </c>
    </row>
    <row r="1002" spans="1:17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s="7" t="str">
        <f t="shared" si="15"/>
        <v>Valid</v>
      </c>
      <c r="O1002">
        <v>0</v>
      </c>
      <c r="Q1002">
        <v>52.2</v>
      </c>
    </row>
    <row r="1003" spans="1:17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 s="7" t="str">
        <f t="shared" si="15"/>
        <v>Valid</v>
      </c>
      <c r="O1003">
        <v>0</v>
      </c>
      <c r="Q1003">
        <v>62.6</v>
      </c>
    </row>
    <row r="1004" spans="1:17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 s="7" t="str">
        <f t="shared" si="15"/>
        <v>Valid</v>
      </c>
      <c r="O1004">
        <v>0</v>
      </c>
      <c r="Q1004">
        <v>100</v>
      </c>
    </row>
    <row r="1005" spans="1:17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 s="7" t="str">
        <f t="shared" si="15"/>
        <v>Invalid</v>
      </c>
      <c r="O1005">
        <v>0</v>
      </c>
      <c r="Q1005">
        <v>45.9</v>
      </c>
    </row>
    <row r="1006" spans="1:17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 s="7" t="str">
        <f t="shared" si="15"/>
        <v>Valid</v>
      </c>
      <c r="O1006">
        <v>0</v>
      </c>
      <c r="Q1006">
        <v>80.7</v>
      </c>
    </row>
    <row r="1007" spans="1:17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 s="7" t="str">
        <f t="shared" si="15"/>
        <v>Valid</v>
      </c>
      <c r="O1007">
        <v>0</v>
      </c>
      <c r="Q1007">
        <v>51.9</v>
      </c>
    </row>
    <row r="1008" spans="1:17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 s="7" t="str">
        <f t="shared" si="15"/>
        <v>Valid</v>
      </c>
      <c r="O1008">
        <v>0</v>
      </c>
      <c r="Q1008">
        <v>68.900000000000006</v>
      </c>
    </row>
    <row r="1009" spans="1:17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 s="7" t="str">
        <f t="shared" si="15"/>
        <v>Valid</v>
      </c>
      <c r="O1009">
        <v>0</v>
      </c>
      <c r="Q1009">
        <v>66</v>
      </c>
    </row>
    <row r="1010" spans="1:17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s="7" t="str">
        <f t="shared" si="15"/>
        <v>Valid</v>
      </c>
      <c r="O1010">
        <v>0</v>
      </c>
      <c r="Q1010">
        <v>63.1</v>
      </c>
    </row>
    <row r="1011" spans="1:17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s="7" t="str">
        <f t="shared" si="15"/>
        <v>Valid</v>
      </c>
      <c r="O1011">
        <v>0</v>
      </c>
      <c r="Q1011">
        <v>56</v>
      </c>
    </row>
    <row r="1012" spans="1:17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 s="7" t="str">
        <f t="shared" si="15"/>
        <v>Valid</v>
      </c>
      <c r="O1012">
        <v>0</v>
      </c>
      <c r="Q1012">
        <v>65.7</v>
      </c>
    </row>
    <row r="1013" spans="1:17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 s="7" t="str">
        <f t="shared" si="15"/>
        <v>Valid</v>
      </c>
      <c r="O1013">
        <v>0</v>
      </c>
      <c r="P1013">
        <v>9</v>
      </c>
      <c r="Q1013">
        <v>60.9</v>
      </c>
    </row>
    <row r="1014" spans="1:17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s="7" t="str">
        <f t="shared" si="15"/>
        <v>Valid</v>
      </c>
      <c r="O1014">
        <v>0</v>
      </c>
      <c r="Q1014">
        <v>45.5</v>
      </c>
    </row>
    <row r="1015" spans="1:17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 s="7" t="str">
        <f t="shared" si="15"/>
        <v>Valid</v>
      </c>
      <c r="O1015">
        <v>0</v>
      </c>
      <c r="Q1015">
        <v>50</v>
      </c>
    </row>
    <row r="1016" spans="1:17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 s="7" t="str">
        <f t="shared" si="15"/>
        <v>Valid</v>
      </c>
      <c r="O1016">
        <v>0</v>
      </c>
      <c r="Q1016">
        <v>72.099999999999994</v>
      </c>
    </row>
    <row r="1017" spans="1:17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 s="7" t="str">
        <f t="shared" si="15"/>
        <v>Valid</v>
      </c>
      <c r="O1017">
        <v>0</v>
      </c>
      <c r="Q1017">
        <v>76.3</v>
      </c>
    </row>
    <row r="1018" spans="1:17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 s="7" t="str">
        <f t="shared" si="15"/>
        <v>Valid</v>
      </c>
      <c r="O1018">
        <v>0</v>
      </c>
      <c r="Q1018">
        <v>54.8</v>
      </c>
    </row>
    <row r="1019" spans="1:17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 s="7" t="str">
        <f t="shared" si="15"/>
        <v>Valid</v>
      </c>
      <c r="O1019">
        <v>0</v>
      </c>
      <c r="Q1019">
        <v>63.6</v>
      </c>
    </row>
    <row r="1020" spans="1:17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 s="7" t="str">
        <f t="shared" si="15"/>
        <v>Valid</v>
      </c>
      <c r="O1020">
        <v>0</v>
      </c>
      <c r="Q1020">
        <v>68.8</v>
      </c>
    </row>
    <row r="1021" spans="1:17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 s="7" t="str">
        <f t="shared" si="15"/>
        <v>Valid</v>
      </c>
      <c r="O1021">
        <v>0</v>
      </c>
      <c r="Q1021">
        <v>63.2</v>
      </c>
    </row>
    <row r="1022" spans="1:17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s="7" t="str">
        <f t="shared" si="15"/>
        <v>Valid</v>
      </c>
      <c r="O1022">
        <v>0</v>
      </c>
      <c r="Q1022">
        <v>45</v>
      </c>
    </row>
    <row r="1023" spans="1:17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s="7" t="str">
        <f t="shared" si="15"/>
        <v>Valid</v>
      </c>
      <c r="O1023">
        <v>0</v>
      </c>
      <c r="Q1023">
        <v>77.400000000000006</v>
      </c>
    </row>
    <row r="1024" spans="1:17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s="7" t="str">
        <f t="shared" si="15"/>
        <v>Valid</v>
      </c>
      <c r="O1024">
        <v>0</v>
      </c>
      <c r="Q1024">
        <v>53.1</v>
      </c>
    </row>
    <row r="1025" spans="1:17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s="7" t="str">
        <f t="shared" si="15"/>
        <v>Valid</v>
      </c>
      <c r="O1025">
        <v>0</v>
      </c>
      <c r="Q1025">
        <v>74</v>
      </c>
    </row>
    <row r="1026" spans="1:17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 s="7" t="str">
        <f t="shared" si="15"/>
        <v>Valid</v>
      </c>
      <c r="O1026">
        <v>0</v>
      </c>
      <c r="P1026">
        <v>4</v>
      </c>
      <c r="Q1026">
        <v>84.6</v>
      </c>
    </row>
    <row r="1027" spans="1:17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 s="7" t="str">
        <f t="shared" ref="N1027:N1090" si="16">IF(OR(M1027=0,M1027=1),"Valid","Invalid")</f>
        <v>Valid</v>
      </c>
      <c r="O1027">
        <v>0</v>
      </c>
      <c r="Q1027">
        <v>57</v>
      </c>
    </row>
    <row r="1028" spans="1:17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s="7" t="str">
        <f t="shared" si="16"/>
        <v>Valid</v>
      </c>
      <c r="O1028">
        <v>0</v>
      </c>
      <c r="Q1028">
        <v>46.3</v>
      </c>
    </row>
    <row r="1029" spans="1:17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 s="7" t="str">
        <f t="shared" si="16"/>
        <v>Valid</v>
      </c>
      <c r="O1029">
        <v>0</v>
      </c>
      <c r="Q1029">
        <v>64.400000000000006</v>
      </c>
    </row>
    <row r="1030" spans="1:17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 s="7" t="str">
        <f t="shared" si="16"/>
        <v>Invalid</v>
      </c>
      <c r="O1030">
        <v>0</v>
      </c>
      <c r="Q1030">
        <v>61.9</v>
      </c>
    </row>
    <row r="1031" spans="1:17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 s="7" t="str">
        <f t="shared" si="16"/>
        <v>Valid</v>
      </c>
      <c r="O1031">
        <v>0</v>
      </c>
      <c r="Q1031">
        <v>93.7</v>
      </c>
    </row>
    <row r="1032" spans="1:17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s="7" t="str">
        <f t="shared" si="16"/>
        <v>Valid</v>
      </c>
      <c r="O1032">
        <v>0</v>
      </c>
      <c r="Q1032">
        <v>61.6</v>
      </c>
    </row>
    <row r="1033" spans="1:17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 s="7" t="str">
        <f t="shared" si="16"/>
        <v>Valid</v>
      </c>
      <c r="O1033">
        <v>0</v>
      </c>
      <c r="Q1033">
        <v>72.2</v>
      </c>
    </row>
    <row r="1034" spans="1:17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s="7" t="str">
        <f t="shared" si="16"/>
        <v>Valid</v>
      </c>
      <c r="O1034">
        <v>0</v>
      </c>
      <c r="Q1034">
        <v>69.5</v>
      </c>
    </row>
    <row r="1035" spans="1:17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s="7" t="str">
        <f t="shared" si="16"/>
        <v>Valid</v>
      </c>
      <c r="O1035">
        <v>0</v>
      </c>
      <c r="Q1035">
        <v>59.7</v>
      </c>
    </row>
    <row r="1036" spans="1:17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 s="7" t="str">
        <f t="shared" si="16"/>
        <v>Valid</v>
      </c>
      <c r="O1036">
        <v>0</v>
      </c>
      <c r="Q1036">
        <v>73.900000000000006</v>
      </c>
    </row>
    <row r="1037" spans="1:17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s="7" t="str">
        <f t="shared" si="16"/>
        <v>Valid</v>
      </c>
      <c r="O1037">
        <v>0</v>
      </c>
      <c r="Q1037">
        <v>41.5</v>
      </c>
    </row>
    <row r="1038" spans="1:17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 s="7" t="str">
        <f t="shared" si="16"/>
        <v>Valid</v>
      </c>
      <c r="O1038">
        <v>0</v>
      </c>
      <c r="Q1038">
        <v>82.8</v>
      </c>
    </row>
    <row r="1039" spans="1:17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 s="7" t="str">
        <f t="shared" si="16"/>
        <v>Invalid</v>
      </c>
      <c r="O1039">
        <v>0</v>
      </c>
      <c r="Q1039">
        <v>70.2</v>
      </c>
    </row>
    <row r="1040" spans="1:17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 s="7" t="str">
        <f t="shared" si="16"/>
        <v>Valid</v>
      </c>
      <c r="O1040">
        <v>0</v>
      </c>
      <c r="Q1040">
        <v>69.400000000000006</v>
      </c>
    </row>
    <row r="1041" spans="1:17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 s="7" t="str">
        <f t="shared" si="16"/>
        <v>Valid</v>
      </c>
      <c r="O1041">
        <v>0</v>
      </c>
      <c r="Q1041">
        <v>60.4</v>
      </c>
    </row>
    <row r="1042" spans="1:17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 s="7" t="str">
        <f t="shared" si="16"/>
        <v>Valid</v>
      </c>
      <c r="O1042">
        <v>0</v>
      </c>
      <c r="Q1042">
        <v>45.7</v>
      </c>
    </row>
    <row r="1043" spans="1:17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 s="7" t="str">
        <f t="shared" si="16"/>
        <v>Valid</v>
      </c>
      <c r="O1043">
        <v>0</v>
      </c>
      <c r="Q1043">
        <v>42.2</v>
      </c>
    </row>
    <row r="1044" spans="1:17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 s="7" t="str">
        <f t="shared" si="16"/>
        <v>Invalid</v>
      </c>
      <c r="O1044">
        <v>0</v>
      </c>
      <c r="Q1044">
        <v>61.9</v>
      </c>
    </row>
    <row r="1045" spans="1:17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s="7" t="str">
        <f t="shared" si="16"/>
        <v>Valid</v>
      </c>
      <c r="O1045">
        <v>0</v>
      </c>
      <c r="Q1045">
        <v>44.9</v>
      </c>
    </row>
    <row r="1046" spans="1:17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 s="7" t="str">
        <f t="shared" si="16"/>
        <v>Valid</v>
      </c>
      <c r="O1046">
        <v>0</v>
      </c>
      <c r="Q1046">
        <v>68</v>
      </c>
    </row>
    <row r="1047" spans="1:17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 s="7" t="str">
        <f t="shared" si="16"/>
        <v>Valid</v>
      </c>
      <c r="O1047">
        <v>0</v>
      </c>
      <c r="Q1047">
        <v>61</v>
      </c>
    </row>
    <row r="1048" spans="1:17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 s="7" t="str">
        <f t="shared" si="16"/>
        <v>Valid</v>
      </c>
      <c r="O1048">
        <v>0</v>
      </c>
      <c r="Q1048">
        <v>55</v>
      </c>
    </row>
    <row r="1049" spans="1:17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 s="7" t="str">
        <f t="shared" si="16"/>
        <v>Valid</v>
      </c>
      <c r="O1049">
        <v>0</v>
      </c>
      <c r="Q1049">
        <v>63.1</v>
      </c>
    </row>
    <row r="1050" spans="1:17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 s="7" t="str">
        <f t="shared" si="16"/>
        <v>Valid</v>
      </c>
      <c r="O1050">
        <v>0</v>
      </c>
      <c r="Q1050">
        <v>75.8</v>
      </c>
    </row>
    <row r="1051" spans="1:17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 s="7" t="str">
        <f t="shared" si="16"/>
        <v>Valid</v>
      </c>
      <c r="O1051">
        <v>0</v>
      </c>
      <c r="Q1051">
        <v>43.8</v>
      </c>
    </row>
    <row r="1052" spans="1:17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 s="7" t="str">
        <f t="shared" si="16"/>
        <v>Valid</v>
      </c>
      <c r="O1052">
        <v>0</v>
      </c>
      <c r="Q1052">
        <v>46.8</v>
      </c>
    </row>
    <row r="1053" spans="1:17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 s="7" t="str">
        <f t="shared" si="16"/>
        <v>Valid</v>
      </c>
      <c r="O1053">
        <v>0</v>
      </c>
      <c r="Q1053">
        <v>97.4</v>
      </c>
    </row>
    <row r="1054" spans="1:17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 s="7" t="str">
        <f t="shared" si="16"/>
        <v>Valid</v>
      </c>
      <c r="O1054">
        <v>0</v>
      </c>
      <c r="P1054">
        <v>14</v>
      </c>
      <c r="Q1054">
        <v>81</v>
      </c>
    </row>
    <row r="1055" spans="1:17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 s="7" t="str">
        <f t="shared" si="16"/>
        <v>Valid</v>
      </c>
      <c r="O1055">
        <v>0</v>
      </c>
      <c r="Q1055">
        <v>58.9</v>
      </c>
    </row>
    <row r="1056" spans="1:17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 s="7" t="str">
        <f t="shared" si="16"/>
        <v>Valid</v>
      </c>
      <c r="O1056">
        <v>0</v>
      </c>
      <c r="Q1056">
        <v>51.9</v>
      </c>
    </row>
    <row r="1057" spans="1:17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 s="7" t="str">
        <f t="shared" si="16"/>
        <v>Valid</v>
      </c>
      <c r="O1057">
        <v>0</v>
      </c>
      <c r="Q1057">
        <v>61.7</v>
      </c>
    </row>
    <row r="1058" spans="1:17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 s="7" t="str">
        <f t="shared" si="16"/>
        <v>Valid</v>
      </c>
      <c r="O1058">
        <v>0</v>
      </c>
      <c r="Q1058">
        <v>44.7</v>
      </c>
    </row>
    <row r="1059" spans="1:17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s="7" t="str">
        <f t="shared" si="16"/>
        <v>Valid</v>
      </c>
      <c r="O1059">
        <v>0</v>
      </c>
      <c r="Q1059">
        <v>63.2</v>
      </c>
    </row>
    <row r="1060" spans="1:17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 s="7" t="str">
        <f t="shared" si="16"/>
        <v>Valid</v>
      </c>
      <c r="O1060">
        <v>0</v>
      </c>
      <c r="Q1060">
        <v>70.3</v>
      </c>
    </row>
    <row r="1061" spans="1:17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 s="7" t="str">
        <f t="shared" si="16"/>
        <v>Valid</v>
      </c>
      <c r="O1061">
        <v>0</v>
      </c>
      <c r="Q1061">
        <v>83.1</v>
      </c>
    </row>
    <row r="1062" spans="1:17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s="7" t="str">
        <f t="shared" si="16"/>
        <v>Valid</v>
      </c>
      <c r="O1062">
        <v>0</v>
      </c>
      <c r="Q1062">
        <v>50.3</v>
      </c>
    </row>
    <row r="1063" spans="1:17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 s="7" t="str">
        <f t="shared" si="16"/>
        <v>Invalid</v>
      </c>
      <c r="O1063">
        <v>1</v>
      </c>
      <c r="P1063">
        <v>1</v>
      </c>
      <c r="Q1063">
        <v>58.2</v>
      </c>
    </row>
    <row r="1064" spans="1:17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 s="7" t="str">
        <f t="shared" si="16"/>
        <v>Valid</v>
      </c>
      <c r="O1064">
        <v>0</v>
      </c>
      <c r="Q1064">
        <v>53.2</v>
      </c>
    </row>
    <row r="1065" spans="1:17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s="7" t="str">
        <f t="shared" si="16"/>
        <v>Valid</v>
      </c>
      <c r="O1065">
        <v>0</v>
      </c>
      <c r="Q1065">
        <v>36.4</v>
      </c>
    </row>
    <row r="1066" spans="1:17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 s="7" t="str">
        <f t="shared" si="16"/>
        <v>Valid</v>
      </c>
      <c r="O1066">
        <v>0</v>
      </c>
      <c r="Q1066">
        <v>72.7</v>
      </c>
    </row>
    <row r="1067" spans="1:17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 s="7" t="str">
        <f t="shared" si="16"/>
        <v>Valid</v>
      </c>
      <c r="O1067">
        <v>0</v>
      </c>
      <c r="Q1067">
        <v>86.7</v>
      </c>
    </row>
    <row r="1068" spans="1:17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 s="7" t="str">
        <f t="shared" si="16"/>
        <v>Valid</v>
      </c>
      <c r="O1068">
        <v>0</v>
      </c>
      <c r="Q1068">
        <v>48.2</v>
      </c>
    </row>
    <row r="1069" spans="1:17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 s="7" t="str">
        <f t="shared" si="16"/>
        <v>Valid</v>
      </c>
      <c r="O1069">
        <v>0</v>
      </c>
      <c r="Q1069">
        <v>57.6</v>
      </c>
    </row>
    <row r="1070" spans="1:17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 s="7" t="str">
        <f t="shared" si="16"/>
        <v>Valid</v>
      </c>
      <c r="O1070">
        <v>0</v>
      </c>
      <c r="Q1070">
        <v>75.7</v>
      </c>
    </row>
    <row r="1071" spans="1:17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 s="7" t="str">
        <f t="shared" si="16"/>
        <v>Invalid</v>
      </c>
      <c r="O1071">
        <v>0</v>
      </c>
      <c r="Q1071">
        <v>48.6</v>
      </c>
    </row>
    <row r="1072" spans="1:17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 s="7" t="str">
        <f t="shared" si="16"/>
        <v>Valid</v>
      </c>
      <c r="O1072">
        <v>0</v>
      </c>
      <c r="Q1072">
        <v>72</v>
      </c>
    </row>
    <row r="1073" spans="1:17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s="7" t="str">
        <f t="shared" si="16"/>
        <v>Valid</v>
      </c>
      <c r="O1073">
        <v>0</v>
      </c>
      <c r="Q1073">
        <v>72.2</v>
      </c>
    </row>
    <row r="1074" spans="1:17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 s="7" t="str">
        <f t="shared" si="16"/>
        <v>Valid</v>
      </c>
      <c r="O1074">
        <v>0</v>
      </c>
    </row>
    <row r="1075" spans="1:17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 s="7" t="str">
        <f t="shared" si="16"/>
        <v>Invalid</v>
      </c>
      <c r="O1075">
        <v>0</v>
      </c>
      <c r="P1075">
        <v>4</v>
      </c>
      <c r="Q1075">
        <v>56.8</v>
      </c>
    </row>
    <row r="1076" spans="1:17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 s="7" t="str">
        <f t="shared" si="16"/>
        <v>Valid</v>
      </c>
      <c r="O1076">
        <v>0</v>
      </c>
      <c r="Q1076">
        <v>62.5</v>
      </c>
    </row>
    <row r="1077" spans="1:17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 s="7" t="str">
        <f t="shared" si="16"/>
        <v>Valid</v>
      </c>
      <c r="O1077">
        <v>0</v>
      </c>
      <c r="Q1077">
        <v>63.4</v>
      </c>
    </row>
    <row r="1078" spans="1:17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 s="7" t="str">
        <f t="shared" si="16"/>
        <v>Valid</v>
      </c>
      <c r="O1078">
        <v>0</v>
      </c>
      <c r="P1078">
        <v>3</v>
      </c>
      <c r="Q1078">
        <v>46.8</v>
      </c>
    </row>
    <row r="1079" spans="1:17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 s="7" t="str">
        <f t="shared" si="16"/>
        <v>Valid</v>
      </c>
      <c r="O1079">
        <v>0</v>
      </c>
      <c r="P1079">
        <v>8</v>
      </c>
      <c r="Q1079">
        <v>86.5</v>
      </c>
    </row>
    <row r="1080" spans="1:17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 s="7" t="str">
        <f t="shared" si="16"/>
        <v>Valid</v>
      </c>
      <c r="O1080">
        <v>0</v>
      </c>
      <c r="Q1080">
        <v>75.099999999999994</v>
      </c>
    </row>
    <row r="1081" spans="1:17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 s="7" t="str">
        <f t="shared" si="16"/>
        <v>Valid</v>
      </c>
      <c r="O1081">
        <v>0</v>
      </c>
      <c r="Q1081">
        <v>64.5</v>
      </c>
    </row>
    <row r="1082" spans="1:17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 s="7" t="str">
        <f t="shared" si="16"/>
        <v>Valid</v>
      </c>
      <c r="O1082">
        <v>0</v>
      </c>
      <c r="Q1082">
        <v>54.2</v>
      </c>
    </row>
    <row r="1083" spans="1:17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 s="7" t="str">
        <f t="shared" si="16"/>
        <v>Valid</v>
      </c>
      <c r="O1083">
        <v>0</v>
      </c>
      <c r="Q1083">
        <v>84.1</v>
      </c>
    </row>
    <row r="1084" spans="1:17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 s="7" t="str">
        <f t="shared" si="16"/>
        <v>Valid</v>
      </c>
      <c r="O1084">
        <v>0</v>
      </c>
      <c r="Q1084">
        <v>49.1</v>
      </c>
    </row>
    <row r="1085" spans="1:17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s="7" t="str">
        <f t="shared" si="16"/>
        <v>Valid</v>
      </c>
      <c r="O1085">
        <v>0</v>
      </c>
      <c r="Q1085">
        <v>92.7</v>
      </c>
    </row>
    <row r="1086" spans="1:17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 s="7" t="str">
        <f t="shared" si="16"/>
        <v>Valid</v>
      </c>
      <c r="O1086">
        <v>0</v>
      </c>
      <c r="Q1086">
        <v>58.7</v>
      </c>
    </row>
    <row r="1087" spans="1:17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 s="7" t="str">
        <f t="shared" si="16"/>
        <v>Valid</v>
      </c>
      <c r="O1087">
        <v>0</v>
      </c>
      <c r="Q1087">
        <v>59.3</v>
      </c>
    </row>
    <row r="1088" spans="1:17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 s="7" t="str">
        <f t="shared" si="16"/>
        <v>Valid</v>
      </c>
      <c r="O1088">
        <v>0</v>
      </c>
      <c r="Q1088">
        <v>62</v>
      </c>
    </row>
    <row r="1089" spans="1:17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 s="7" t="str">
        <f t="shared" si="16"/>
        <v>Valid</v>
      </c>
      <c r="O1089">
        <v>0</v>
      </c>
      <c r="Q1089">
        <v>60.3</v>
      </c>
    </row>
    <row r="1090" spans="1:17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 s="7" t="str">
        <f t="shared" si="16"/>
        <v>Valid</v>
      </c>
      <c r="O1090">
        <v>0</v>
      </c>
      <c r="Q1090">
        <v>70.5</v>
      </c>
    </row>
    <row r="1091" spans="1:17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 s="7" t="str">
        <f t="shared" ref="N1091:N1154" si="17">IF(OR(M1091=0,M1091=1),"Valid","Invalid")</f>
        <v>Valid</v>
      </c>
      <c r="O1091">
        <v>0</v>
      </c>
      <c r="Q1091">
        <v>36.799999999999997</v>
      </c>
    </row>
    <row r="1092" spans="1:17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 s="7" t="str">
        <f t="shared" si="17"/>
        <v>Valid</v>
      </c>
      <c r="O1092">
        <v>0</v>
      </c>
      <c r="Q1092">
        <v>73.2</v>
      </c>
    </row>
    <row r="1093" spans="1:17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s="7" t="str">
        <f t="shared" si="17"/>
        <v>Valid</v>
      </c>
      <c r="O1093">
        <v>0</v>
      </c>
      <c r="Q1093">
        <v>70.099999999999994</v>
      </c>
    </row>
    <row r="1094" spans="1:17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 s="7" t="str">
        <f t="shared" si="17"/>
        <v>Valid</v>
      </c>
      <c r="O1094">
        <v>0</v>
      </c>
      <c r="Q1094">
        <v>76.400000000000006</v>
      </c>
    </row>
    <row r="1095" spans="1:17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s="7" t="str">
        <f t="shared" si="17"/>
        <v>Valid</v>
      </c>
      <c r="O1095">
        <v>0</v>
      </c>
      <c r="Q1095">
        <v>46.4</v>
      </c>
    </row>
    <row r="1096" spans="1:17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 s="7" t="str">
        <f t="shared" si="17"/>
        <v>Valid</v>
      </c>
      <c r="O1096">
        <v>0</v>
      </c>
      <c r="Q1096">
        <v>81.3</v>
      </c>
    </row>
    <row r="1097" spans="1:17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 s="7" t="str">
        <f t="shared" si="17"/>
        <v>Valid</v>
      </c>
      <c r="O1097">
        <v>0</v>
      </c>
      <c r="Q1097">
        <v>55.3</v>
      </c>
    </row>
    <row r="1098" spans="1:17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 s="7" t="str">
        <f t="shared" si="17"/>
        <v>Valid</v>
      </c>
      <c r="O1098">
        <v>0</v>
      </c>
      <c r="Q1098">
        <v>44.7</v>
      </c>
    </row>
    <row r="1099" spans="1:17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 s="7" t="str">
        <f t="shared" si="17"/>
        <v>Valid</v>
      </c>
      <c r="O1099">
        <v>0</v>
      </c>
      <c r="Q1099">
        <v>67.2</v>
      </c>
    </row>
    <row r="1100" spans="1:17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 s="7" t="str">
        <f t="shared" si="17"/>
        <v>Valid</v>
      </c>
      <c r="O1100">
        <v>0</v>
      </c>
    </row>
    <row r="1101" spans="1:17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 s="7" t="str">
        <f t="shared" si="17"/>
        <v>Valid</v>
      </c>
      <c r="O1101">
        <v>0</v>
      </c>
      <c r="Q1101">
        <v>70.8</v>
      </c>
    </row>
    <row r="1102" spans="1:17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 s="7" t="str">
        <f t="shared" si="17"/>
        <v>Valid</v>
      </c>
      <c r="O1102">
        <v>0</v>
      </c>
      <c r="Q1102">
        <v>71.3</v>
      </c>
    </row>
    <row r="1103" spans="1:17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 s="7" t="str">
        <f t="shared" si="17"/>
        <v>Valid</v>
      </c>
      <c r="O1103">
        <v>0</v>
      </c>
      <c r="Q1103">
        <v>69.400000000000006</v>
      </c>
    </row>
    <row r="1104" spans="1:17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 s="7" t="str">
        <f t="shared" si="17"/>
        <v>Valid</v>
      </c>
      <c r="O1104">
        <v>0</v>
      </c>
      <c r="Q1104">
        <v>58.9</v>
      </c>
    </row>
    <row r="1105" spans="1:17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s="7" t="str">
        <f t="shared" si="17"/>
        <v>Valid</v>
      </c>
      <c r="O1105">
        <v>0</v>
      </c>
      <c r="Q1105">
        <v>70.7</v>
      </c>
    </row>
    <row r="1106" spans="1:17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 s="7" t="str">
        <f t="shared" si="17"/>
        <v>Valid</v>
      </c>
      <c r="O1106">
        <v>0</v>
      </c>
      <c r="Q1106">
        <v>60.5</v>
      </c>
    </row>
    <row r="1107" spans="1:17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 s="7" t="str">
        <f t="shared" si="17"/>
        <v>Valid</v>
      </c>
      <c r="O1107">
        <v>0</v>
      </c>
      <c r="Q1107">
        <v>77.3</v>
      </c>
    </row>
    <row r="1108" spans="1:17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 s="7" t="str">
        <f t="shared" si="17"/>
        <v>Valid</v>
      </c>
      <c r="O1108">
        <v>0</v>
      </c>
      <c r="Q1108">
        <v>39.5</v>
      </c>
    </row>
    <row r="1109" spans="1:17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 s="7" t="str">
        <f t="shared" si="17"/>
        <v>Valid</v>
      </c>
      <c r="O1109">
        <v>0</v>
      </c>
      <c r="Q1109">
        <v>68.099999999999994</v>
      </c>
    </row>
    <row r="1110" spans="1:17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s="7" t="str">
        <f t="shared" si="17"/>
        <v>Valid</v>
      </c>
      <c r="O1110">
        <v>0</v>
      </c>
      <c r="Q1110">
        <v>80.3</v>
      </c>
    </row>
    <row r="1111" spans="1:17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 s="7" t="str">
        <f t="shared" si="17"/>
        <v>Valid</v>
      </c>
      <c r="O1111">
        <v>0</v>
      </c>
      <c r="Q1111">
        <v>77.7</v>
      </c>
    </row>
    <row r="1112" spans="1:17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 s="7" t="str">
        <f t="shared" si="17"/>
        <v>Valid</v>
      </c>
      <c r="O1112">
        <v>0</v>
      </c>
      <c r="Q1112">
        <v>66.2</v>
      </c>
    </row>
    <row r="1113" spans="1:17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 s="7" t="str">
        <f t="shared" si="17"/>
        <v>Valid</v>
      </c>
      <c r="O1113">
        <v>0</v>
      </c>
      <c r="Q1113">
        <v>43.9</v>
      </c>
    </row>
    <row r="1114" spans="1:17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 s="7" t="str">
        <f t="shared" si="17"/>
        <v>Invalid</v>
      </c>
      <c r="O1114">
        <v>0</v>
      </c>
      <c r="Q1114">
        <v>59.1</v>
      </c>
    </row>
    <row r="1115" spans="1:17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 s="7" t="str">
        <f t="shared" si="17"/>
        <v>Valid</v>
      </c>
      <c r="O1115">
        <v>0</v>
      </c>
      <c r="P1115">
        <v>11</v>
      </c>
      <c r="Q1115">
        <v>67</v>
      </c>
    </row>
    <row r="1116" spans="1:17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 s="7" t="str">
        <f t="shared" si="17"/>
        <v>Valid</v>
      </c>
      <c r="O1116">
        <v>0</v>
      </c>
      <c r="Q1116">
        <v>47.9</v>
      </c>
    </row>
    <row r="1117" spans="1:17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 s="7" t="str">
        <f t="shared" si="17"/>
        <v>Valid</v>
      </c>
      <c r="O1117">
        <v>0</v>
      </c>
      <c r="Q1117">
        <v>41.5</v>
      </c>
    </row>
    <row r="1118" spans="1:17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 s="7" t="str">
        <f t="shared" si="17"/>
        <v>Invalid</v>
      </c>
      <c r="O1118">
        <v>0</v>
      </c>
      <c r="Q1118">
        <v>30.6</v>
      </c>
    </row>
    <row r="1119" spans="1:17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 s="7" t="str">
        <f t="shared" si="17"/>
        <v>Valid</v>
      </c>
      <c r="O1119">
        <v>0</v>
      </c>
      <c r="Q1119">
        <v>91.5</v>
      </c>
    </row>
    <row r="1120" spans="1:17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 s="7" t="str">
        <f t="shared" si="17"/>
        <v>Valid</v>
      </c>
      <c r="O1120">
        <v>0</v>
      </c>
      <c r="Q1120">
        <v>80.8</v>
      </c>
    </row>
    <row r="1121" spans="1:17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 s="7" t="str">
        <f t="shared" si="17"/>
        <v>Valid</v>
      </c>
      <c r="O1121">
        <v>0</v>
      </c>
      <c r="Q1121">
        <v>68.099999999999994</v>
      </c>
    </row>
    <row r="1122" spans="1:17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 s="7" t="str">
        <f t="shared" si="17"/>
        <v>Valid</v>
      </c>
      <c r="O1122">
        <v>0</v>
      </c>
      <c r="Q1122">
        <v>80.3</v>
      </c>
    </row>
    <row r="1123" spans="1:17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 s="7" t="str">
        <f t="shared" si="17"/>
        <v>Valid</v>
      </c>
      <c r="O1123">
        <v>0</v>
      </c>
      <c r="Q1123">
        <v>44.4</v>
      </c>
    </row>
    <row r="1124" spans="1:17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s="7" t="str">
        <f t="shared" si="17"/>
        <v>Valid</v>
      </c>
      <c r="O1124">
        <v>0</v>
      </c>
      <c r="Q1124">
        <v>51.9</v>
      </c>
    </row>
    <row r="1125" spans="1:17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 s="7" t="str">
        <f t="shared" si="17"/>
        <v>Valid</v>
      </c>
      <c r="O1125">
        <v>0</v>
      </c>
      <c r="Q1125">
        <v>49.8</v>
      </c>
    </row>
    <row r="1126" spans="1:17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 s="7" t="str">
        <f t="shared" si="17"/>
        <v>Invalid</v>
      </c>
      <c r="O1126">
        <v>0</v>
      </c>
      <c r="Q1126">
        <v>62.1</v>
      </c>
    </row>
    <row r="1127" spans="1:17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 s="7" t="str">
        <f t="shared" si="17"/>
        <v>Valid</v>
      </c>
      <c r="O1127">
        <v>0</v>
      </c>
      <c r="Q1127">
        <v>91.3</v>
      </c>
    </row>
    <row r="1128" spans="1:17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 s="7" t="str">
        <f t="shared" si="17"/>
        <v>Valid</v>
      </c>
      <c r="O1128">
        <v>0</v>
      </c>
      <c r="Q1128">
        <v>66.400000000000006</v>
      </c>
    </row>
    <row r="1129" spans="1:17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 s="7" t="str">
        <f t="shared" si="17"/>
        <v>Valid</v>
      </c>
      <c r="O1129">
        <v>0</v>
      </c>
      <c r="Q1129">
        <v>41.5</v>
      </c>
    </row>
    <row r="1130" spans="1:17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s="7" t="str">
        <f t="shared" si="17"/>
        <v>Valid</v>
      </c>
      <c r="O1130">
        <v>0</v>
      </c>
      <c r="Q1130">
        <v>77.099999999999994</v>
      </c>
    </row>
    <row r="1131" spans="1:17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 s="7" t="str">
        <f t="shared" si="17"/>
        <v>Valid</v>
      </c>
      <c r="O1131">
        <v>0</v>
      </c>
      <c r="Q1131">
        <v>63.2</v>
      </c>
    </row>
    <row r="1132" spans="1:17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 s="7" t="str">
        <f t="shared" si="17"/>
        <v>Invalid</v>
      </c>
      <c r="O1132">
        <v>0</v>
      </c>
      <c r="Q1132">
        <v>75.7</v>
      </c>
    </row>
    <row r="1133" spans="1:17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s="7" t="str">
        <f t="shared" si="17"/>
        <v>Valid</v>
      </c>
      <c r="O1133">
        <v>0</v>
      </c>
      <c r="Q1133">
        <v>62.9</v>
      </c>
    </row>
    <row r="1134" spans="1:17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 s="7" t="str">
        <f t="shared" si="17"/>
        <v>Invalid</v>
      </c>
      <c r="O1134">
        <v>0</v>
      </c>
      <c r="Q1134">
        <v>64.599999999999994</v>
      </c>
    </row>
    <row r="1135" spans="1:17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 s="7" t="str">
        <f t="shared" si="17"/>
        <v>Valid</v>
      </c>
      <c r="O1135">
        <v>0</v>
      </c>
      <c r="Q1135">
        <v>76.599999999999994</v>
      </c>
    </row>
    <row r="1136" spans="1:17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 s="7" t="str">
        <f t="shared" si="17"/>
        <v>Valid</v>
      </c>
      <c r="O1136">
        <v>0</v>
      </c>
      <c r="Q1136">
        <v>74.8</v>
      </c>
    </row>
    <row r="1137" spans="1:17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 s="7" t="str">
        <f t="shared" si="17"/>
        <v>Invalid</v>
      </c>
      <c r="O1137">
        <v>0</v>
      </c>
      <c r="Q1137">
        <v>38.1</v>
      </c>
    </row>
    <row r="1138" spans="1:17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 s="7" t="str">
        <f t="shared" si="17"/>
        <v>Valid</v>
      </c>
      <c r="O1138">
        <v>0</v>
      </c>
      <c r="Q1138">
        <v>60.2</v>
      </c>
    </row>
    <row r="1139" spans="1:17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 s="7" t="str">
        <f t="shared" si="17"/>
        <v>Valid</v>
      </c>
      <c r="O1139">
        <v>0</v>
      </c>
      <c r="Q1139">
        <v>73.5</v>
      </c>
    </row>
    <row r="1140" spans="1:17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 s="7" t="str">
        <f t="shared" si="17"/>
        <v>Valid</v>
      </c>
      <c r="O1140">
        <v>0</v>
      </c>
      <c r="Q1140">
        <v>70.900000000000006</v>
      </c>
    </row>
    <row r="1141" spans="1:17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 s="7" t="str">
        <f t="shared" si="17"/>
        <v>Valid</v>
      </c>
      <c r="O1141">
        <v>0</v>
      </c>
      <c r="Q1141">
        <v>63.7</v>
      </c>
    </row>
    <row r="1142" spans="1:17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 s="7" t="str">
        <f t="shared" si="17"/>
        <v>Valid</v>
      </c>
      <c r="O1142">
        <v>0</v>
      </c>
      <c r="Q1142">
        <v>86.5</v>
      </c>
    </row>
    <row r="1143" spans="1:17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 s="7" t="str">
        <f t="shared" si="17"/>
        <v>Invalid</v>
      </c>
      <c r="O1143">
        <v>0</v>
      </c>
      <c r="P1143">
        <v>7</v>
      </c>
      <c r="Q1143">
        <v>74.599999999999994</v>
      </c>
    </row>
    <row r="1144" spans="1:17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 s="7" t="str">
        <f t="shared" si="17"/>
        <v>Valid</v>
      </c>
      <c r="O1144">
        <v>0</v>
      </c>
      <c r="Q1144">
        <v>46.6</v>
      </c>
    </row>
    <row r="1145" spans="1:17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s="7" t="str">
        <f t="shared" si="17"/>
        <v>Valid</v>
      </c>
      <c r="O1145">
        <v>0</v>
      </c>
      <c r="Q1145">
        <v>61.2</v>
      </c>
    </row>
    <row r="1146" spans="1:17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 s="7" t="str">
        <f t="shared" si="17"/>
        <v>Valid</v>
      </c>
      <c r="O1146">
        <v>0</v>
      </c>
      <c r="P1146">
        <v>4</v>
      </c>
      <c r="Q1146">
        <v>54.4</v>
      </c>
    </row>
    <row r="1147" spans="1:17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 s="7" t="str">
        <f t="shared" si="17"/>
        <v>Valid</v>
      </c>
      <c r="O1147">
        <v>0</v>
      </c>
      <c r="Q1147">
        <v>72</v>
      </c>
    </row>
    <row r="1148" spans="1:17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 s="7" t="str">
        <f t="shared" si="17"/>
        <v>Valid</v>
      </c>
      <c r="O1148">
        <v>0</v>
      </c>
      <c r="P1148">
        <v>8</v>
      </c>
      <c r="Q1148">
        <v>88.6</v>
      </c>
    </row>
    <row r="1149" spans="1:17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 s="7" t="str">
        <f t="shared" si="17"/>
        <v>Valid</v>
      </c>
      <c r="O1149">
        <v>0</v>
      </c>
      <c r="Q1149">
        <v>77.599999999999994</v>
      </c>
    </row>
    <row r="1150" spans="1:17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 s="7" t="str">
        <f t="shared" si="17"/>
        <v>Valid</v>
      </c>
      <c r="O1150">
        <v>0</v>
      </c>
      <c r="Q1150">
        <v>44.3</v>
      </c>
    </row>
    <row r="1151" spans="1:17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 s="7" t="str">
        <f t="shared" si="17"/>
        <v>Valid</v>
      </c>
      <c r="O1151">
        <v>0</v>
      </c>
      <c r="Q1151">
        <v>49</v>
      </c>
    </row>
    <row r="1152" spans="1:17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 s="7" t="str">
        <f t="shared" si="17"/>
        <v>Valid</v>
      </c>
      <c r="O1152">
        <v>0</v>
      </c>
      <c r="Q1152">
        <v>53.9</v>
      </c>
    </row>
    <row r="1153" spans="1:17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 s="7" t="str">
        <f t="shared" si="17"/>
        <v>Valid</v>
      </c>
      <c r="O1153">
        <v>0</v>
      </c>
      <c r="Q1153">
        <v>69</v>
      </c>
    </row>
    <row r="1154" spans="1:17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s="7" t="str">
        <f t="shared" si="17"/>
        <v>Valid</v>
      </c>
      <c r="O1154">
        <v>0</v>
      </c>
      <c r="Q1154">
        <v>37.4</v>
      </c>
    </row>
    <row r="1155" spans="1:17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s="7" t="str">
        <f t="shared" ref="N1155:N1218" si="18">IF(OR(M1155=0,M1155=1),"Valid","Invalid")</f>
        <v>Valid</v>
      </c>
      <c r="O1155">
        <v>0</v>
      </c>
      <c r="Q1155">
        <v>59</v>
      </c>
    </row>
    <row r="1156" spans="1:17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 s="7" t="str">
        <f t="shared" si="18"/>
        <v>Valid</v>
      </c>
      <c r="O1156">
        <v>0</v>
      </c>
      <c r="Q1156">
        <v>60.8</v>
      </c>
    </row>
    <row r="1157" spans="1:17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 s="7" t="str">
        <f t="shared" si="18"/>
        <v>Valid</v>
      </c>
      <c r="O1157">
        <v>0</v>
      </c>
      <c r="Q1157">
        <v>57.5</v>
      </c>
    </row>
    <row r="1158" spans="1:17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s="7" t="str">
        <f t="shared" si="18"/>
        <v>Valid</v>
      </c>
      <c r="O1158">
        <v>0</v>
      </c>
      <c r="Q1158">
        <v>84.2</v>
      </c>
    </row>
    <row r="1159" spans="1:17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 s="7" t="str">
        <f t="shared" si="18"/>
        <v>Valid</v>
      </c>
      <c r="O1159">
        <v>0</v>
      </c>
      <c r="Q1159">
        <v>27.4</v>
      </c>
    </row>
    <row r="1160" spans="1:17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 s="7" t="str">
        <f t="shared" si="18"/>
        <v>Valid</v>
      </c>
      <c r="O1160">
        <v>0</v>
      </c>
      <c r="Q1160">
        <v>67.599999999999994</v>
      </c>
    </row>
    <row r="1161" spans="1:17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s="7" t="str">
        <f t="shared" si="18"/>
        <v>Valid</v>
      </c>
      <c r="O1161">
        <v>0</v>
      </c>
      <c r="Q1161">
        <v>68.400000000000006</v>
      </c>
    </row>
    <row r="1162" spans="1:17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 s="7" t="str">
        <f t="shared" si="18"/>
        <v>Valid</v>
      </c>
      <c r="O1162">
        <v>0</v>
      </c>
      <c r="Q1162">
        <v>66.5</v>
      </c>
    </row>
    <row r="1163" spans="1:17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 s="7" t="str">
        <f t="shared" si="18"/>
        <v>Valid</v>
      </c>
      <c r="O1163">
        <v>0</v>
      </c>
      <c r="Q1163">
        <v>38.200000000000003</v>
      </c>
    </row>
    <row r="1164" spans="1:17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 s="7" t="str">
        <f t="shared" si="18"/>
        <v>Valid</v>
      </c>
      <c r="O1164">
        <v>0</v>
      </c>
      <c r="Q1164">
        <v>66.7</v>
      </c>
    </row>
    <row r="1165" spans="1:17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 s="7" t="str">
        <f t="shared" si="18"/>
        <v>Valid</v>
      </c>
      <c r="O1165">
        <v>0</v>
      </c>
      <c r="Q1165">
        <v>73.7</v>
      </c>
    </row>
    <row r="1166" spans="1:17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 s="7" t="str">
        <f t="shared" si="18"/>
        <v>Valid</v>
      </c>
      <c r="O1166">
        <v>0</v>
      </c>
      <c r="Q1166">
        <v>63.9</v>
      </c>
    </row>
    <row r="1167" spans="1:17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 s="7" t="str">
        <f t="shared" si="18"/>
        <v>Valid</v>
      </c>
      <c r="O1167">
        <v>0</v>
      </c>
      <c r="Q1167">
        <v>82.6</v>
      </c>
    </row>
    <row r="1168" spans="1:17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 s="7" t="str">
        <f t="shared" si="18"/>
        <v>Valid</v>
      </c>
      <c r="O1168">
        <v>0</v>
      </c>
      <c r="Q1168">
        <v>58.3</v>
      </c>
    </row>
    <row r="1169" spans="1:17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 s="7" t="str">
        <f t="shared" si="18"/>
        <v>Valid</v>
      </c>
      <c r="O1169">
        <v>1</v>
      </c>
      <c r="P1169">
        <v>2</v>
      </c>
      <c r="Q1169">
        <v>72.900000000000006</v>
      </c>
    </row>
    <row r="1170" spans="1:17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 s="7" t="str">
        <f t="shared" si="18"/>
        <v>Invalid</v>
      </c>
      <c r="O1170">
        <v>0</v>
      </c>
      <c r="Q1170">
        <v>53.5</v>
      </c>
    </row>
    <row r="1171" spans="1:17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 s="7" t="str">
        <f t="shared" si="18"/>
        <v>Valid</v>
      </c>
      <c r="O1171">
        <v>0</v>
      </c>
      <c r="Q1171">
        <v>54.8</v>
      </c>
    </row>
    <row r="1172" spans="1:17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 s="7" t="str">
        <f t="shared" si="18"/>
        <v>Valid</v>
      </c>
      <c r="O1172">
        <v>0</v>
      </c>
      <c r="Q1172">
        <v>69.5</v>
      </c>
    </row>
    <row r="1173" spans="1:17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 s="7" t="str">
        <f t="shared" si="18"/>
        <v>Valid</v>
      </c>
      <c r="O1173">
        <v>0</v>
      </c>
      <c r="Q1173">
        <v>71.3</v>
      </c>
    </row>
    <row r="1174" spans="1:17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 s="7" t="str">
        <f t="shared" si="18"/>
        <v>Valid</v>
      </c>
      <c r="O1174">
        <v>0</v>
      </c>
      <c r="Q1174">
        <v>57.5</v>
      </c>
    </row>
    <row r="1175" spans="1:17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 s="7" t="str">
        <f t="shared" si="18"/>
        <v>Invalid</v>
      </c>
      <c r="O1175">
        <v>0</v>
      </c>
      <c r="Q1175">
        <v>50.9</v>
      </c>
    </row>
    <row r="1176" spans="1:17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 s="7" t="str">
        <f t="shared" si="18"/>
        <v>Valid</v>
      </c>
      <c r="O1176">
        <v>0</v>
      </c>
      <c r="Q1176">
        <v>69.3</v>
      </c>
    </row>
    <row r="1177" spans="1:17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 s="7" t="str">
        <f t="shared" si="18"/>
        <v>Valid</v>
      </c>
      <c r="O1177">
        <v>0</v>
      </c>
      <c r="Q1177">
        <v>50.1</v>
      </c>
    </row>
    <row r="1178" spans="1:17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 s="7" t="str">
        <f t="shared" si="18"/>
        <v>Valid</v>
      </c>
      <c r="O1178">
        <v>0</v>
      </c>
      <c r="Q1178">
        <v>69.7</v>
      </c>
    </row>
    <row r="1179" spans="1:17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s="7" t="str">
        <f t="shared" si="18"/>
        <v>Valid</v>
      </c>
      <c r="O1179">
        <v>0</v>
      </c>
      <c r="Q1179">
        <v>63.5</v>
      </c>
    </row>
    <row r="1180" spans="1:17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 s="7" t="str">
        <f t="shared" si="18"/>
        <v>Valid</v>
      </c>
      <c r="O1180">
        <v>0</v>
      </c>
      <c r="P1180">
        <v>8</v>
      </c>
      <c r="Q1180">
        <v>80.400000000000006</v>
      </c>
    </row>
    <row r="1181" spans="1:17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s="7" t="str">
        <f t="shared" si="18"/>
        <v>Valid</v>
      </c>
      <c r="O1181">
        <v>0</v>
      </c>
      <c r="Q1181">
        <v>58.9</v>
      </c>
    </row>
    <row r="1182" spans="1:17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 s="7" t="str">
        <f t="shared" si="18"/>
        <v>Valid</v>
      </c>
      <c r="O1182">
        <v>0</v>
      </c>
      <c r="Q1182">
        <v>56.8</v>
      </c>
    </row>
    <row r="1183" spans="1:17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s="7" t="str">
        <f t="shared" si="18"/>
        <v>Valid</v>
      </c>
      <c r="O1183">
        <v>0</v>
      </c>
      <c r="Q1183">
        <v>73.900000000000006</v>
      </c>
    </row>
    <row r="1184" spans="1:17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s="7" t="str">
        <f t="shared" si="18"/>
        <v>Valid</v>
      </c>
      <c r="O1184">
        <v>0</v>
      </c>
      <c r="Q1184">
        <v>76.3</v>
      </c>
    </row>
    <row r="1185" spans="1:17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 s="7" t="str">
        <f t="shared" si="18"/>
        <v>Valid</v>
      </c>
      <c r="O1185">
        <v>0</v>
      </c>
      <c r="Q1185">
        <v>56.9</v>
      </c>
    </row>
    <row r="1186" spans="1:17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 s="7" t="str">
        <f t="shared" si="18"/>
        <v>Invalid</v>
      </c>
      <c r="O1186">
        <v>0</v>
      </c>
      <c r="Q1186">
        <v>49.4</v>
      </c>
    </row>
    <row r="1187" spans="1:17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 s="7" t="str">
        <f t="shared" si="18"/>
        <v>Valid</v>
      </c>
      <c r="O1187">
        <v>0</v>
      </c>
      <c r="Q1187">
        <v>86.7</v>
      </c>
    </row>
    <row r="1188" spans="1:17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 s="7" t="str">
        <f t="shared" si="18"/>
        <v>Invalid</v>
      </c>
      <c r="O1188">
        <v>0</v>
      </c>
      <c r="Q1188">
        <v>69</v>
      </c>
    </row>
    <row r="1189" spans="1:17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s="7" t="str">
        <f t="shared" si="18"/>
        <v>Valid</v>
      </c>
      <c r="O1189">
        <v>0</v>
      </c>
      <c r="Q1189">
        <v>84.5</v>
      </c>
    </row>
    <row r="1190" spans="1:17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 s="7" t="str">
        <f t="shared" si="18"/>
        <v>Valid</v>
      </c>
      <c r="O1190">
        <v>0</v>
      </c>
      <c r="Q1190">
        <v>66.3</v>
      </c>
    </row>
    <row r="1191" spans="1:17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s="7" t="str">
        <f t="shared" si="18"/>
        <v>Valid</v>
      </c>
      <c r="O1191">
        <v>0</v>
      </c>
      <c r="Q1191">
        <v>52.2</v>
      </c>
    </row>
    <row r="1192" spans="1:17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 s="7" t="str">
        <f t="shared" si="18"/>
        <v>Valid</v>
      </c>
      <c r="O1192">
        <v>0</v>
      </c>
      <c r="Q1192">
        <v>81.2</v>
      </c>
    </row>
    <row r="1193" spans="1:17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s="7" t="str">
        <f t="shared" si="18"/>
        <v>Valid</v>
      </c>
      <c r="O1193">
        <v>0</v>
      </c>
      <c r="Q1193">
        <v>53.9</v>
      </c>
    </row>
    <row r="1194" spans="1:17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s="7" t="str">
        <f t="shared" si="18"/>
        <v>Valid</v>
      </c>
      <c r="O1194">
        <v>0</v>
      </c>
      <c r="Q1194">
        <v>39.1</v>
      </c>
    </row>
    <row r="1195" spans="1:17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s="7" t="str">
        <f t="shared" si="18"/>
        <v>Valid</v>
      </c>
      <c r="O1195">
        <v>0</v>
      </c>
      <c r="Q1195">
        <v>57.3</v>
      </c>
    </row>
    <row r="1196" spans="1:17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 s="7" t="str">
        <f t="shared" si="18"/>
        <v>Valid</v>
      </c>
      <c r="O1196">
        <v>0</v>
      </c>
      <c r="Q1196">
        <v>65.900000000000006</v>
      </c>
    </row>
    <row r="1197" spans="1:17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 s="7" t="str">
        <f t="shared" si="18"/>
        <v>Valid</v>
      </c>
      <c r="O1197">
        <v>0</v>
      </c>
      <c r="Q1197">
        <v>34.200000000000003</v>
      </c>
    </row>
    <row r="1198" spans="1:17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s="7" t="str">
        <f t="shared" si="18"/>
        <v>Valid</v>
      </c>
      <c r="O1198">
        <v>0</v>
      </c>
      <c r="Q1198">
        <v>47.2</v>
      </c>
    </row>
    <row r="1199" spans="1:17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 s="7" t="str">
        <f t="shared" si="18"/>
        <v>Valid</v>
      </c>
      <c r="O1199">
        <v>0</v>
      </c>
      <c r="Q1199">
        <v>55</v>
      </c>
    </row>
    <row r="1200" spans="1:17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 s="7" t="str">
        <f t="shared" si="18"/>
        <v>Valid</v>
      </c>
      <c r="O1200">
        <v>0</v>
      </c>
      <c r="Q1200">
        <v>76.400000000000006</v>
      </c>
    </row>
    <row r="1201" spans="1:17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 s="7" t="str">
        <f t="shared" si="18"/>
        <v>Valid</v>
      </c>
      <c r="O1201">
        <v>0</v>
      </c>
      <c r="Q1201">
        <v>70.8</v>
      </c>
    </row>
    <row r="1202" spans="1:17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 s="7" t="str">
        <f t="shared" si="18"/>
        <v>Valid</v>
      </c>
      <c r="O1202">
        <v>0</v>
      </c>
      <c r="Q1202">
        <v>58</v>
      </c>
    </row>
    <row r="1203" spans="1:17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 s="7" t="str">
        <f t="shared" si="18"/>
        <v>Valid</v>
      </c>
      <c r="O1203">
        <v>0</v>
      </c>
      <c r="Q1203">
        <v>70.8</v>
      </c>
    </row>
    <row r="1204" spans="1:17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 s="7" t="str">
        <f t="shared" si="18"/>
        <v>Invalid</v>
      </c>
      <c r="O1204">
        <v>0</v>
      </c>
      <c r="Q1204">
        <v>60</v>
      </c>
    </row>
    <row r="1205" spans="1:17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 s="7" t="str">
        <f t="shared" si="18"/>
        <v>Invalid</v>
      </c>
      <c r="O1205">
        <v>0</v>
      </c>
      <c r="Q1205">
        <v>58.1</v>
      </c>
    </row>
    <row r="1206" spans="1:17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s="7" t="str">
        <f t="shared" si="18"/>
        <v>Valid</v>
      </c>
      <c r="O1206">
        <v>0</v>
      </c>
      <c r="Q1206">
        <v>59.7</v>
      </c>
    </row>
    <row r="1207" spans="1:17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s="7" t="str">
        <f t="shared" si="18"/>
        <v>Valid</v>
      </c>
      <c r="O1207">
        <v>0</v>
      </c>
      <c r="Q1207">
        <v>47.7</v>
      </c>
    </row>
    <row r="1208" spans="1:17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s="7" t="str">
        <f t="shared" si="18"/>
        <v>Valid</v>
      </c>
      <c r="O1208">
        <v>0</v>
      </c>
      <c r="Q1208">
        <v>59.1</v>
      </c>
    </row>
    <row r="1209" spans="1:17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 s="7" t="str">
        <f t="shared" si="18"/>
        <v>Valid</v>
      </c>
      <c r="O1209">
        <v>0</v>
      </c>
      <c r="Q1209">
        <v>68.7</v>
      </c>
    </row>
    <row r="1210" spans="1:17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s="7" t="str">
        <f t="shared" si="18"/>
        <v>Valid</v>
      </c>
      <c r="O1210">
        <v>0</v>
      </c>
      <c r="Q1210">
        <v>34.700000000000003</v>
      </c>
    </row>
    <row r="1211" spans="1:17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 s="7" t="str">
        <f t="shared" si="18"/>
        <v>Valid</v>
      </c>
      <c r="O1211">
        <v>0</v>
      </c>
      <c r="Q1211">
        <v>62</v>
      </c>
    </row>
    <row r="1212" spans="1:17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 s="7" t="str">
        <f t="shared" si="18"/>
        <v>Valid</v>
      </c>
      <c r="O1212">
        <v>0</v>
      </c>
      <c r="Q1212">
        <v>56</v>
      </c>
    </row>
    <row r="1213" spans="1:17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 s="7" t="str">
        <f t="shared" si="18"/>
        <v>Valid</v>
      </c>
      <c r="O1213">
        <v>0</v>
      </c>
      <c r="Q1213">
        <v>65.8</v>
      </c>
    </row>
    <row r="1214" spans="1:17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s="7" t="str">
        <f t="shared" si="18"/>
        <v>Valid</v>
      </c>
      <c r="O1214">
        <v>0</v>
      </c>
      <c r="Q1214">
        <v>54.7</v>
      </c>
    </row>
    <row r="1215" spans="1:17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 s="7" t="str">
        <f t="shared" si="18"/>
        <v>Valid</v>
      </c>
      <c r="O1215">
        <v>0</v>
      </c>
      <c r="Q1215">
        <v>64.099999999999994</v>
      </c>
    </row>
    <row r="1216" spans="1:17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 s="7" t="str">
        <f t="shared" si="18"/>
        <v>Valid</v>
      </c>
      <c r="O1216">
        <v>0</v>
      </c>
      <c r="Q1216">
        <v>71.599999999999994</v>
      </c>
    </row>
    <row r="1217" spans="1:17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 s="7" t="str">
        <f t="shared" si="18"/>
        <v>Valid</v>
      </c>
      <c r="O1217">
        <v>0</v>
      </c>
      <c r="Q1217">
        <v>78.400000000000006</v>
      </c>
    </row>
    <row r="1218" spans="1:17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s="7" t="str">
        <f t="shared" si="18"/>
        <v>Valid</v>
      </c>
      <c r="O1218">
        <v>0</v>
      </c>
      <c r="Q1218">
        <v>49.3</v>
      </c>
    </row>
    <row r="1219" spans="1:17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s="7" t="str">
        <f t="shared" ref="N1219:N1282" si="19">IF(OR(M1219=0,M1219=1),"Valid","Invalid")</f>
        <v>Valid</v>
      </c>
      <c r="O1219">
        <v>0</v>
      </c>
      <c r="Q1219">
        <v>52.8</v>
      </c>
    </row>
    <row r="1220" spans="1:17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s="7" t="str">
        <f t="shared" si="19"/>
        <v>Valid</v>
      </c>
      <c r="O1220">
        <v>0</v>
      </c>
      <c r="Q1220">
        <v>58.5</v>
      </c>
    </row>
    <row r="1221" spans="1:17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 s="7" t="str">
        <f t="shared" si="19"/>
        <v>Valid</v>
      </c>
      <c r="O1221">
        <v>0</v>
      </c>
      <c r="Q1221">
        <v>55.9</v>
      </c>
    </row>
    <row r="1222" spans="1:17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 s="7" t="str">
        <f t="shared" si="19"/>
        <v>Valid</v>
      </c>
      <c r="O1222">
        <v>0</v>
      </c>
      <c r="P1222">
        <v>6</v>
      </c>
      <c r="Q1222">
        <v>74.900000000000006</v>
      </c>
    </row>
    <row r="1223" spans="1:17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 s="7" t="str">
        <f t="shared" si="19"/>
        <v>Valid</v>
      </c>
      <c r="O1223">
        <v>0</v>
      </c>
      <c r="P1223">
        <v>4</v>
      </c>
      <c r="Q1223">
        <v>58.5</v>
      </c>
    </row>
    <row r="1224" spans="1:17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s="7" t="str">
        <f t="shared" si="19"/>
        <v>Valid</v>
      </c>
      <c r="O1224">
        <v>0</v>
      </c>
      <c r="Q1224">
        <v>63.5</v>
      </c>
    </row>
    <row r="1225" spans="1:17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 s="7" t="str">
        <f t="shared" si="19"/>
        <v>Valid</v>
      </c>
      <c r="O1225">
        <v>0</v>
      </c>
      <c r="Q1225">
        <v>64.8</v>
      </c>
    </row>
    <row r="1226" spans="1:17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s="7" t="str">
        <f t="shared" si="19"/>
        <v>Valid</v>
      </c>
      <c r="O1226">
        <v>0</v>
      </c>
      <c r="Q1226">
        <v>63.3</v>
      </c>
    </row>
    <row r="1227" spans="1:17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 s="7" t="str">
        <f t="shared" si="19"/>
        <v>Valid</v>
      </c>
      <c r="O1227">
        <v>0</v>
      </c>
      <c r="P1227">
        <v>8</v>
      </c>
      <c r="Q1227">
        <v>83.7</v>
      </c>
    </row>
    <row r="1228" spans="1:17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s="7" t="str">
        <f t="shared" si="19"/>
        <v>Valid</v>
      </c>
      <c r="O1228">
        <v>0</v>
      </c>
      <c r="Q1228">
        <v>88.7</v>
      </c>
    </row>
    <row r="1229" spans="1:17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 s="7" t="str">
        <f t="shared" si="19"/>
        <v>Valid</v>
      </c>
      <c r="O1229">
        <v>0</v>
      </c>
      <c r="Q1229">
        <v>61.5</v>
      </c>
    </row>
    <row r="1230" spans="1:17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s="7" t="str">
        <f t="shared" si="19"/>
        <v>Valid</v>
      </c>
      <c r="O1230">
        <v>0</v>
      </c>
      <c r="Q1230">
        <v>45.3</v>
      </c>
    </row>
    <row r="1231" spans="1:17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 s="7" t="str">
        <f t="shared" si="19"/>
        <v>Valid</v>
      </c>
      <c r="O1231">
        <v>0</v>
      </c>
      <c r="Q1231">
        <v>37.299999999999997</v>
      </c>
    </row>
    <row r="1232" spans="1:17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 s="7" t="str">
        <f t="shared" si="19"/>
        <v>Valid</v>
      </c>
      <c r="O1232">
        <v>0</v>
      </c>
      <c r="Q1232">
        <v>76.099999999999994</v>
      </c>
    </row>
    <row r="1233" spans="1:17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 s="7" t="str">
        <f t="shared" si="19"/>
        <v>Valid</v>
      </c>
      <c r="O1233">
        <v>0</v>
      </c>
      <c r="Q1233">
        <v>72.5</v>
      </c>
    </row>
    <row r="1234" spans="1:17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 s="7" t="str">
        <f t="shared" si="19"/>
        <v>Valid</v>
      </c>
      <c r="O1234">
        <v>0</v>
      </c>
      <c r="Q1234">
        <v>62.3</v>
      </c>
    </row>
    <row r="1235" spans="1:17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s="7" t="str">
        <f t="shared" si="19"/>
        <v>Valid</v>
      </c>
      <c r="O1235">
        <v>0</v>
      </c>
      <c r="Q1235">
        <v>62.7</v>
      </c>
    </row>
    <row r="1236" spans="1:17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s="7" t="str">
        <f t="shared" si="19"/>
        <v>Valid</v>
      </c>
      <c r="O1236">
        <v>0</v>
      </c>
      <c r="Q1236">
        <v>82.4</v>
      </c>
    </row>
    <row r="1237" spans="1:17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 s="7" t="str">
        <f t="shared" si="19"/>
        <v>Valid</v>
      </c>
      <c r="O1237">
        <v>0</v>
      </c>
      <c r="Q1237">
        <v>78.900000000000006</v>
      </c>
    </row>
    <row r="1238" spans="1:17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 s="7" t="str">
        <f t="shared" si="19"/>
        <v>Valid</v>
      </c>
      <c r="O1238">
        <v>0</v>
      </c>
      <c r="P1238">
        <v>4</v>
      </c>
      <c r="Q1238">
        <v>67.8</v>
      </c>
    </row>
    <row r="1239" spans="1:17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 s="7" t="str">
        <f t="shared" si="19"/>
        <v>Valid</v>
      </c>
      <c r="O1239">
        <v>0</v>
      </c>
      <c r="Q1239">
        <v>68.8</v>
      </c>
    </row>
    <row r="1240" spans="1:17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 s="7" t="str">
        <f t="shared" si="19"/>
        <v>Valid</v>
      </c>
      <c r="O1240">
        <v>0</v>
      </c>
      <c r="Q1240">
        <v>67.7</v>
      </c>
    </row>
    <row r="1241" spans="1:17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s="7" t="str">
        <f t="shared" si="19"/>
        <v>Valid</v>
      </c>
      <c r="O1241">
        <v>0</v>
      </c>
      <c r="Q1241">
        <v>88</v>
      </c>
    </row>
    <row r="1242" spans="1:17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 s="7" t="str">
        <f t="shared" si="19"/>
        <v>Valid</v>
      </c>
      <c r="O1242">
        <v>0</v>
      </c>
      <c r="Q1242">
        <v>80.099999999999994</v>
      </c>
    </row>
    <row r="1243" spans="1:17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 s="7" t="str">
        <f t="shared" si="19"/>
        <v>Valid</v>
      </c>
      <c r="O1243">
        <v>0</v>
      </c>
      <c r="Q1243">
        <v>48.2</v>
      </c>
    </row>
    <row r="1244" spans="1:17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 s="7" t="str">
        <f t="shared" si="19"/>
        <v>Valid</v>
      </c>
      <c r="O1244">
        <v>0</v>
      </c>
      <c r="Q1244">
        <v>52.7</v>
      </c>
    </row>
    <row r="1245" spans="1:17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 s="7" t="str">
        <f t="shared" si="19"/>
        <v>Valid</v>
      </c>
      <c r="O1245">
        <v>0</v>
      </c>
      <c r="Q1245">
        <v>59.9</v>
      </c>
    </row>
    <row r="1246" spans="1:17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 s="7" t="str">
        <f t="shared" si="19"/>
        <v>Valid</v>
      </c>
      <c r="O1246">
        <v>0</v>
      </c>
      <c r="Q1246">
        <v>49.5</v>
      </c>
    </row>
    <row r="1247" spans="1:17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 s="7" t="str">
        <f t="shared" si="19"/>
        <v>Valid</v>
      </c>
      <c r="O1247">
        <v>0</v>
      </c>
      <c r="Q1247">
        <v>41.5</v>
      </c>
    </row>
    <row r="1248" spans="1:17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 s="7" t="str">
        <f t="shared" si="19"/>
        <v>Valid</v>
      </c>
      <c r="O1248">
        <v>0</v>
      </c>
      <c r="Q1248">
        <v>71.2</v>
      </c>
    </row>
    <row r="1249" spans="1:17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 s="7" t="str">
        <f t="shared" si="19"/>
        <v>Valid</v>
      </c>
      <c r="O1249">
        <v>0</v>
      </c>
      <c r="Q1249">
        <v>65.8</v>
      </c>
    </row>
    <row r="1250" spans="1:17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 s="7" t="str">
        <f t="shared" si="19"/>
        <v>Valid</v>
      </c>
      <c r="O1250">
        <v>0</v>
      </c>
      <c r="Q1250">
        <v>55.1</v>
      </c>
    </row>
    <row r="1251" spans="1:17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 s="7" t="str">
        <f t="shared" si="19"/>
        <v>Valid</v>
      </c>
      <c r="O1251">
        <v>0</v>
      </c>
      <c r="Q1251">
        <v>54.6</v>
      </c>
    </row>
    <row r="1252" spans="1:17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 s="7" t="str">
        <f t="shared" si="19"/>
        <v>Valid</v>
      </c>
      <c r="O1252">
        <v>0</v>
      </c>
      <c r="P1252">
        <v>4</v>
      </c>
      <c r="Q1252">
        <v>81.900000000000006</v>
      </c>
    </row>
    <row r="1253" spans="1:17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 s="7" t="str">
        <f t="shared" si="19"/>
        <v>Invalid</v>
      </c>
      <c r="O1253">
        <v>0</v>
      </c>
      <c r="Q1253">
        <v>63.2</v>
      </c>
    </row>
    <row r="1254" spans="1:17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 s="7" t="str">
        <f t="shared" si="19"/>
        <v>Valid</v>
      </c>
      <c r="O1254">
        <v>0</v>
      </c>
      <c r="Q1254">
        <v>55.4</v>
      </c>
    </row>
    <row r="1255" spans="1:17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s="7" t="str">
        <f t="shared" si="19"/>
        <v>Valid</v>
      </c>
      <c r="O1255">
        <v>0</v>
      </c>
      <c r="Q1255">
        <v>87.5</v>
      </c>
    </row>
    <row r="1256" spans="1:17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 s="7" t="str">
        <f t="shared" si="19"/>
        <v>Valid</v>
      </c>
      <c r="O1256">
        <v>0</v>
      </c>
      <c r="Q1256">
        <v>48.5</v>
      </c>
    </row>
    <row r="1257" spans="1:17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 s="7" t="str">
        <f t="shared" si="19"/>
        <v>Valid</v>
      </c>
      <c r="O1257">
        <v>0</v>
      </c>
      <c r="P1257">
        <v>6</v>
      </c>
      <c r="Q1257">
        <v>58.4</v>
      </c>
    </row>
    <row r="1258" spans="1:17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s="7" t="str">
        <f t="shared" si="19"/>
        <v>Valid</v>
      </c>
      <c r="O1258">
        <v>0</v>
      </c>
      <c r="Q1258">
        <v>59.5</v>
      </c>
    </row>
    <row r="1259" spans="1:17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 s="7" t="str">
        <f t="shared" si="19"/>
        <v>Valid</v>
      </c>
      <c r="O1259">
        <v>0</v>
      </c>
      <c r="Q1259">
        <v>93.2</v>
      </c>
    </row>
    <row r="1260" spans="1:17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 s="7" t="str">
        <f t="shared" si="19"/>
        <v>Valid</v>
      </c>
      <c r="O1260">
        <v>0</v>
      </c>
      <c r="Q1260">
        <v>59</v>
      </c>
    </row>
    <row r="1261" spans="1:17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 s="7" t="str">
        <f t="shared" si="19"/>
        <v>Valid</v>
      </c>
      <c r="O1261">
        <v>0</v>
      </c>
      <c r="Q1261">
        <v>37</v>
      </c>
    </row>
    <row r="1262" spans="1:17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 s="7" t="str">
        <f t="shared" si="19"/>
        <v>Valid</v>
      </c>
      <c r="O1262">
        <v>0</v>
      </c>
      <c r="Q1262">
        <v>47.5</v>
      </c>
    </row>
    <row r="1263" spans="1:17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 s="7" t="str">
        <f t="shared" si="19"/>
        <v>Valid</v>
      </c>
      <c r="O1263">
        <v>0</v>
      </c>
      <c r="Q1263">
        <v>78.7</v>
      </c>
    </row>
    <row r="1264" spans="1:17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 s="7" t="str">
        <f t="shared" si="19"/>
        <v>Valid</v>
      </c>
      <c r="O1264">
        <v>0</v>
      </c>
      <c r="Q1264">
        <v>49.6</v>
      </c>
    </row>
    <row r="1265" spans="1:17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 s="7" t="str">
        <f t="shared" si="19"/>
        <v>Valid</v>
      </c>
      <c r="O1265">
        <v>0</v>
      </c>
      <c r="Q1265">
        <v>58</v>
      </c>
    </row>
    <row r="1266" spans="1:17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 s="7" t="str">
        <f t="shared" si="19"/>
        <v>Valid</v>
      </c>
      <c r="O1266">
        <v>0</v>
      </c>
      <c r="Q1266">
        <v>54.4</v>
      </c>
    </row>
    <row r="1267" spans="1:17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s="7" t="str">
        <f t="shared" si="19"/>
        <v>Valid</v>
      </c>
      <c r="O1267">
        <v>0</v>
      </c>
      <c r="Q1267">
        <v>33.700000000000003</v>
      </c>
    </row>
    <row r="1268" spans="1:17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 s="7" t="str">
        <f t="shared" si="19"/>
        <v>Valid</v>
      </c>
      <c r="O1268">
        <v>0</v>
      </c>
      <c r="Q1268">
        <v>72.7</v>
      </c>
    </row>
    <row r="1269" spans="1:17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s="7" t="str">
        <f t="shared" si="19"/>
        <v>Valid</v>
      </c>
      <c r="O1269">
        <v>0</v>
      </c>
      <c r="Q1269">
        <v>64.7</v>
      </c>
    </row>
    <row r="1270" spans="1:17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s="7" t="str">
        <f t="shared" si="19"/>
        <v>Valid</v>
      </c>
      <c r="O1270">
        <v>0</v>
      </c>
      <c r="Q1270">
        <v>48.6</v>
      </c>
    </row>
    <row r="1271" spans="1:17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 s="7" t="str">
        <f t="shared" si="19"/>
        <v>Valid</v>
      </c>
      <c r="O1271">
        <v>0</v>
      </c>
      <c r="Q1271">
        <v>66.2</v>
      </c>
    </row>
    <row r="1272" spans="1:17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 s="7" t="str">
        <f t="shared" si="19"/>
        <v>Valid</v>
      </c>
      <c r="O1272">
        <v>0</v>
      </c>
      <c r="Q1272">
        <v>60.7</v>
      </c>
    </row>
    <row r="1273" spans="1:17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 s="7" t="str">
        <f t="shared" si="19"/>
        <v>Valid</v>
      </c>
      <c r="O1273">
        <v>0</v>
      </c>
      <c r="Q1273">
        <v>36.5</v>
      </c>
    </row>
    <row r="1274" spans="1:17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 s="7" t="str">
        <f t="shared" si="19"/>
        <v>Invalid</v>
      </c>
      <c r="O1274">
        <v>0</v>
      </c>
      <c r="Q1274">
        <v>69.7</v>
      </c>
    </row>
    <row r="1275" spans="1:17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 s="7" t="str">
        <f t="shared" si="19"/>
        <v>Valid</v>
      </c>
      <c r="O1275">
        <v>0</v>
      </c>
      <c r="Q1275">
        <v>81.8</v>
      </c>
    </row>
    <row r="1276" spans="1:17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 s="7" t="str">
        <f t="shared" si="19"/>
        <v>Valid</v>
      </c>
      <c r="O1276">
        <v>0</v>
      </c>
      <c r="Q1276">
        <v>78.3</v>
      </c>
    </row>
    <row r="1277" spans="1:17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 s="7" t="str">
        <f t="shared" si="19"/>
        <v>Valid</v>
      </c>
      <c r="O1277">
        <v>0</v>
      </c>
      <c r="Q1277">
        <v>79.400000000000006</v>
      </c>
    </row>
    <row r="1278" spans="1:17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 s="7" t="str">
        <f t="shared" si="19"/>
        <v>Valid</v>
      </c>
      <c r="O1278">
        <v>0</v>
      </c>
      <c r="Q1278">
        <v>54.9</v>
      </c>
    </row>
    <row r="1279" spans="1:17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 s="7" t="str">
        <f t="shared" si="19"/>
        <v>Valid</v>
      </c>
      <c r="O1279">
        <v>0</v>
      </c>
      <c r="Q1279">
        <v>54.9</v>
      </c>
    </row>
    <row r="1280" spans="1:17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s="7" t="str">
        <f t="shared" si="19"/>
        <v>Valid</v>
      </c>
      <c r="O1280">
        <v>0</v>
      </c>
      <c r="Q1280">
        <v>28.7</v>
      </c>
    </row>
    <row r="1281" spans="1:17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s="7" t="str">
        <f t="shared" si="19"/>
        <v>Valid</v>
      </c>
      <c r="O1281">
        <v>0</v>
      </c>
      <c r="Q1281">
        <v>68.8</v>
      </c>
    </row>
    <row r="1282" spans="1:17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 s="7" t="str">
        <f t="shared" si="19"/>
        <v>Valid</v>
      </c>
      <c r="O1282">
        <v>0</v>
      </c>
      <c r="Q1282">
        <v>43.5</v>
      </c>
    </row>
    <row r="1283" spans="1:17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 s="7" t="str">
        <f t="shared" ref="N1283:N1346" si="20">IF(OR(M1283=0,M1283=1),"Valid","Invalid")</f>
        <v>Valid</v>
      </c>
      <c r="O1283">
        <v>0</v>
      </c>
      <c r="Q1283">
        <v>62.6</v>
      </c>
    </row>
    <row r="1284" spans="1:17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 s="7" t="str">
        <f t="shared" si="20"/>
        <v>Valid</v>
      </c>
      <c r="O1284">
        <v>0</v>
      </c>
      <c r="Q1284">
        <v>54.1</v>
      </c>
    </row>
    <row r="1285" spans="1:17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 s="7" t="str">
        <f t="shared" si="20"/>
        <v>Valid</v>
      </c>
      <c r="O1285">
        <v>0</v>
      </c>
      <c r="Q1285">
        <v>80.099999999999994</v>
      </c>
    </row>
    <row r="1286" spans="1:17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 s="7" t="str">
        <f t="shared" si="20"/>
        <v>Valid</v>
      </c>
      <c r="O1286">
        <v>0</v>
      </c>
      <c r="Q1286">
        <v>69.5</v>
      </c>
    </row>
    <row r="1287" spans="1:17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 s="7" t="str">
        <f t="shared" si="20"/>
        <v>Invalid</v>
      </c>
      <c r="O1287">
        <v>0</v>
      </c>
      <c r="Q1287">
        <v>46.6</v>
      </c>
    </row>
    <row r="1288" spans="1:17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 s="7" t="str">
        <f t="shared" si="20"/>
        <v>Valid</v>
      </c>
      <c r="O1288">
        <v>0</v>
      </c>
      <c r="Q1288">
        <v>54.9</v>
      </c>
    </row>
    <row r="1289" spans="1:17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s="7" t="str">
        <f t="shared" si="20"/>
        <v>Valid</v>
      </c>
      <c r="O1289">
        <v>0</v>
      </c>
      <c r="Q1289">
        <v>100</v>
      </c>
    </row>
    <row r="1290" spans="1:17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 s="7" t="str">
        <f t="shared" si="20"/>
        <v>Valid</v>
      </c>
      <c r="O1290">
        <v>0</v>
      </c>
      <c r="Q1290">
        <v>80.5</v>
      </c>
    </row>
    <row r="1291" spans="1:17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 s="7" t="str">
        <f t="shared" si="20"/>
        <v>Valid</v>
      </c>
      <c r="O1291">
        <v>0</v>
      </c>
      <c r="Q1291">
        <v>51.2</v>
      </c>
    </row>
    <row r="1292" spans="1:17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 s="7" t="str">
        <f t="shared" si="20"/>
        <v>Valid</v>
      </c>
      <c r="O1292">
        <v>0</v>
      </c>
      <c r="Q1292">
        <v>42.5</v>
      </c>
    </row>
    <row r="1293" spans="1:17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s="7" t="str">
        <f t="shared" si="20"/>
        <v>Valid</v>
      </c>
      <c r="O1293">
        <v>0</v>
      </c>
      <c r="Q1293">
        <v>72.5</v>
      </c>
    </row>
    <row r="1294" spans="1:17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s="7" t="str">
        <f t="shared" si="20"/>
        <v>Valid</v>
      </c>
      <c r="O1294">
        <v>0</v>
      </c>
      <c r="Q1294">
        <v>74.400000000000006</v>
      </c>
    </row>
    <row r="1295" spans="1:17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s="7" t="str">
        <f t="shared" si="20"/>
        <v>Valid</v>
      </c>
      <c r="O1295">
        <v>0</v>
      </c>
      <c r="Q1295">
        <v>78.400000000000006</v>
      </c>
    </row>
    <row r="1296" spans="1:17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 s="7" t="str">
        <f t="shared" si="20"/>
        <v>Valid</v>
      </c>
      <c r="O1296">
        <v>0</v>
      </c>
      <c r="Q1296">
        <v>71.5</v>
      </c>
    </row>
    <row r="1297" spans="1:17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 s="7" t="str">
        <f t="shared" si="20"/>
        <v>Valid</v>
      </c>
      <c r="O1297">
        <v>0</v>
      </c>
      <c r="Q1297">
        <v>66.7</v>
      </c>
    </row>
    <row r="1298" spans="1:17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 s="7" t="str">
        <f t="shared" si="20"/>
        <v>Valid</v>
      </c>
      <c r="O1298">
        <v>0</v>
      </c>
      <c r="P1298">
        <v>7</v>
      </c>
      <c r="Q1298">
        <v>60.4</v>
      </c>
    </row>
    <row r="1299" spans="1:17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 s="7" t="str">
        <f t="shared" si="20"/>
        <v>Valid</v>
      </c>
      <c r="O1299">
        <v>0</v>
      </c>
      <c r="Q1299">
        <v>72.900000000000006</v>
      </c>
    </row>
    <row r="1300" spans="1:17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 s="7" t="str">
        <f t="shared" si="20"/>
        <v>Invalid</v>
      </c>
      <c r="O1300">
        <v>0</v>
      </c>
    </row>
    <row r="1301" spans="1:17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 s="7" t="str">
        <f t="shared" si="20"/>
        <v>Valid</v>
      </c>
      <c r="O1301">
        <v>0</v>
      </c>
      <c r="Q1301">
        <v>55.2</v>
      </c>
    </row>
    <row r="1302" spans="1:17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 s="7" t="str">
        <f t="shared" si="20"/>
        <v>Valid</v>
      </c>
      <c r="O1302">
        <v>0</v>
      </c>
      <c r="Q1302">
        <v>67.8</v>
      </c>
    </row>
    <row r="1303" spans="1:17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 s="7" t="str">
        <f t="shared" si="20"/>
        <v>Invalid</v>
      </c>
      <c r="O1303">
        <v>0</v>
      </c>
      <c r="Q1303">
        <v>70</v>
      </c>
    </row>
    <row r="1304" spans="1:17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 s="7" t="str">
        <f t="shared" si="20"/>
        <v>Valid</v>
      </c>
      <c r="O1304">
        <v>0</v>
      </c>
      <c r="Q1304">
        <v>51.1</v>
      </c>
    </row>
    <row r="1305" spans="1:17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 s="7" t="str">
        <f t="shared" si="20"/>
        <v>Valid</v>
      </c>
      <c r="O1305">
        <v>0</v>
      </c>
      <c r="Q1305">
        <v>57</v>
      </c>
    </row>
    <row r="1306" spans="1:17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 s="7" t="str">
        <f t="shared" si="20"/>
        <v>Valid</v>
      </c>
      <c r="O1306">
        <v>0</v>
      </c>
      <c r="Q1306">
        <v>47.1</v>
      </c>
    </row>
    <row r="1307" spans="1:17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s="7" t="str">
        <f t="shared" si="20"/>
        <v>Valid</v>
      </c>
      <c r="O1307">
        <v>0</v>
      </c>
      <c r="Q1307">
        <v>30.7</v>
      </c>
    </row>
    <row r="1308" spans="1:17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 s="7" t="str">
        <f t="shared" si="20"/>
        <v>Valid</v>
      </c>
      <c r="O1308">
        <v>0</v>
      </c>
      <c r="Q1308">
        <v>57.3</v>
      </c>
    </row>
    <row r="1309" spans="1:17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 s="7" t="str">
        <f t="shared" si="20"/>
        <v>Valid</v>
      </c>
      <c r="O1309">
        <v>0</v>
      </c>
      <c r="Q1309">
        <v>70</v>
      </c>
    </row>
    <row r="1310" spans="1:17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 s="7" t="str">
        <f t="shared" si="20"/>
        <v>Valid</v>
      </c>
      <c r="O1310">
        <v>0</v>
      </c>
      <c r="Q1310">
        <v>59.7</v>
      </c>
    </row>
    <row r="1311" spans="1:17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 s="7" t="str">
        <f t="shared" si="20"/>
        <v>Valid</v>
      </c>
      <c r="O1311">
        <v>0</v>
      </c>
      <c r="Q1311">
        <v>68.8</v>
      </c>
    </row>
    <row r="1312" spans="1:17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 s="7" t="str">
        <f t="shared" si="20"/>
        <v>Valid</v>
      </c>
      <c r="O1312">
        <v>0</v>
      </c>
      <c r="P1312">
        <v>9</v>
      </c>
      <c r="Q1312">
        <v>88.3</v>
      </c>
    </row>
    <row r="1313" spans="1:17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 s="7" t="str">
        <f t="shared" si="20"/>
        <v>Valid</v>
      </c>
      <c r="O1313">
        <v>0</v>
      </c>
      <c r="Q1313">
        <v>83.4</v>
      </c>
    </row>
    <row r="1314" spans="1:17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 s="7" t="str">
        <f t="shared" si="20"/>
        <v>Valid</v>
      </c>
      <c r="O1314">
        <v>0</v>
      </c>
      <c r="Q1314">
        <v>81.599999999999994</v>
      </c>
    </row>
    <row r="1315" spans="1:17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 s="7" t="str">
        <f t="shared" si="20"/>
        <v>Valid</v>
      </c>
      <c r="O1315">
        <v>0</v>
      </c>
      <c r="Q1315">
        <v>91.6</v>
      </c>
    </row>
    <row r="1316" spans="1:17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 s="7" t="str">
        <f t="shared" si="20"/>
        <v>Valid</v>
      </c>
      <c r="O1316">
        <v>0</v>
      </c>
      <c r="Q1316">
        <v>61.5</v>
      </c>
    </row>
    <row r="1317" spans="1:17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s="7" t="str">
        <f t="shared" si="20"/>
        <v>Valid</v>
      </c>
      <c r="O1317">
        <v>0</v>
      </c>
    </row>
    <row r="1318" spans="1:17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 s="7" t="str">
        <f t="shared" si="20"/>
        <v>Valid</v>
      </c>
      <c r="O1318">
        <v>0</v>
      </c>
      <c r="Q1318">
        <v>32.6</v>
      </c>
    </row>
    <row r="1319" spans="1:17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 s="7" t="str">
        <f t="shared" si="20"/>
        <v>Valid</v>
      </c>
      <c r="O1319">
        <v>0</v>
      </c>
      <c r="Q1319">
        <v>73.900000000000006</v>
      </c>
    </row>
    <row r="1320" spans="1:17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 s="7" t="str">
        <f t="shared" si="20"/>
        <v>Valid</v>
      </c>
      <c r="O1320">
        <v>0</v>
      </c>
      <c r="P1320">
        <v>9</v>
      </c>
      <c r="Q1320">
        <v>99.9</v>
      </c>
    </row>
    <row r="1321" spans="1:17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 s="7" t="str">
        <f t="shared" si="20"/>
        <v>Valid</v>
      </c>
      <c r="O1321">
        <v>0</v>
      </c>
      <c r="Q1321">
        <v>62.4</v>
      </c>
    </row>
    <row r="1322" spans="1:17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 s="7" t="str">
        <f t="shared" si="20"/>
        <v>Valid</v>
      </c>
      <c r="O1322">
        <v>0</v>
      </c>
      <c r="Q1322">
        <v>46.1</v>
      </c>
    </row>
    <row r="1323" spans="1:17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 s="7" t="str">
        <f t="shared" si="20"/>
        <v>Valid</v>
      </c>
      <c r="O1323">
        <v>0</v>
      </c>
      <c r="P1323">
        <v>3</v>
      </c>
      <c r="Q1323">
        <v>73.900000000000006</v>
      </c>
    </row>
    <row r="1324" spans="1:17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 s="7" t="str">
        <f t="shared" si="20"/>
        <v>Valid</v>
      </c>
      <c r="O1324">
        <v>0</v>
      </c>
      <c r="Q1324">
        <v>90</v>
      </c>
    </row>
    <row r="1325" spans="1:17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 s="7" t="str">
        <f t="shared" si="20"/>
        <v>Valid</v>
      </c>
      <c r="O1325">
        <v>0</v>
      </c>
      <c r="Q1325">
        <v>68.8</v>
      </c>
    </row>
    <row r="1326" spans="1:17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 s="7" t="str">
        <f t="shared" si="20"/>
        <v>Valid</v>
      </c>
      <c r="O1326">
        <v>0</v>
      </c>
      <c r="Q1326">
        <v>66.599999999999994</v>
      </c>
    </row>
    <row r="1327" spans="1:17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 s="7" t="str">
        <f t="shared" si="20"/>
        <v>Valid</v>
      </c>
      <c r="O1327">
        <v>0</v>
      </c>
      <c r="Q1327">
        <v>49.7</v>
      </c>
    </row>
    <row r="1328" spans="1:17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s="7" t="str">
        <f t="shared" si="20"/>
        <v>Valid</v>
      </c>
      <c r="O1328">
        <v>0</v>
      </c>
      <c r="Q1328">
        <v>67.900000000000006</v>
      </c>
    </row>
    <row r="1329" spans="1:17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s="7" t="str">
        <f t="shared" si="20"/>
        <v>Valid</v>
      </c>
      <c r="O1329">
        <v>0</v>
      </c>
      <c r="Q1329">
        <v>66.900000000000006</v>
      </c>
    </row>
    <row r="1330" spans="1:17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s="7" t="str">
        <f t="shared" si="20"/>
        <v>Valid</v>
      </c>
      <c r="O1330">
        <v>0</v>
      </c>
      <c r="Q1330">
        <v>46.1</v>
      </c>
    </row>
    <row r="1331" spans="1:17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 s="7" t="str">
        <f t="shared" si="20"/>
        <v>Valid</v>
      </c>
      <c r="O1331">
        <v>0</v>
      </c>
      <c r="Q1331">
        <v>85.6</v>
      </c>
    </row>
    <row r="1332" spans="1:17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s="7" t="str">
        <f t="shared" si="20"/>
        <v>Valid</v>
      </c>
      <c r="O1332">
        <v>0</v>
      </c>
      <c r="Q1332">
        <v>39.6</v>
      </c>
    </row>
    <row r="1333" spans="1:17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 s="7" t="str">
        <f t="shared" si="20"/>
        <v>Valid</v>
      </c>
      <c r="O1333">
        <v>0</v>
      </c>
      <c r="Q1333">
        <v>52.5</v>
      </c>
    </row>
    <row r="1334" spans="1:17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 s="7" t="str">
        <f t="shared" si="20"/>
        <v>Valid</v>
      </c>
      <c r="O1334">
        <v>0</v>
      </c>
      <c r="Q1334">
        <v>73.5</v>
      </c>
    </row>
    <row r="1335" spans="1:17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s="7" t="str">
        <f t="shared" si="20"/>
        <v>Valid</v>
      </c>
      <c r="O1335">
        <v>0</v>
      </c>
      <c r="Q1335">
        <v>62.5</v>
      </c>
    </row>
    <row r="1336" spans="1:17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 s="7" t="str">
        <f t="shared" si="20"/>
        <v>Valid</v>
      </c>
      <c r="O1336">
        <v>0</v>
      </c>
      <c r="Q1336">
        <v>76.900000000000006</v>
      </c>
    </row>
    <row r="1337" spans="1:17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 s="7" t="str">
        <f t="shared" si="20"/>
        <v>Valid</v>
      </c>
      <c r="O1337">
        <v>0</v>
      </c>
      <c r="Q1337">
        <v>51.4</v>
      </c>
    </row>
    <row r="1338" spans="1:17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 s="7" t="str">
        <f t="shared" si="20"/>
        <v>Valid</v>
      </c>
      <c r="O1338">
        <v>0</v>
      </c>
      <c r="Q1338">
        <v>59.3</v>
      </c>
    </row>
    <row r="1339" spans="1:17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 s="7" t="str">
        <f t="shared" si="20"/>
        <v>Valid</v>
      </c>
      <c r="O1339">
        <v>0</v>
      </c>
      <c r="Q1339">
        <v>74.900000000000006</v>
      </c>
    </row>
    <row r="1340" spans="1:17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 s="7" t="str">
        <f t="shared" si="20"/>
        <v>Valid</v>
      </c>
      <c r="O1340">
        <v>0</v>
      </c>
      <c r="Q1340">
        <v>67</v>
      </c>
    </row>
    <row r="1341" spans="1:17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s="7" t="str">
        <f t="shared" si="20"/>
        <v>Valid</v>
      </c>
      <c r="O1341">
        <v>0</v>
      </c>
      <c r="Q1341">
        <v>63.6</v>
      </c>
    </row>
    <row r="1342" spans="1:17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 s="7" t="str">
        <f t="shared" si="20"/>
        <v>Valid</v>
      </c>
      <c r="O1342">
        <v>0</v>
      </c>
      <c r="Q1342">
        <v>58.4</v>
      </c>
    </row>
    <row r="1343" spans="1:17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 s="7" t="str">
        <f t="shared" si="20"/>
        <v>Valid</v>
      </c>
      <c r="O1343">
        <v>0</v>
      </c>
      <c r="Q1343">
        <v>36.799999999999997</v>
      </c>
    </row>
    <row r="1344" spans="1:17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 s="7" t="str">
        <f t="shared" si="20"/>
        <v>Valid</v>
      </c>
      <c r="O1344">
        <v>0</v>
      </c>
      <c r="Q1344">
        <v>71.599999999999994</v>
      </c>
    </row>
    <row r="1345" spans="1:17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 s="7" t="str">
        <f t="shared" si="20"/>
        <v>Valid</v>
      </c>
      <c r="O1345">
        <v>0</v>
      </c>
      <c r="Q1345">
        <v>79.7</v>
      </c>
    </row>
    <row r="1346" spans="1:17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 s="7" t="str">
        <f t="shared" si="20"/>
        <v>Valid</v>
      </c>
      <c r="O1346">
        <v>0</v>
      </c>
      <c r="Q1346">
        <v>56.5</v>
      </c>
    </row>
    <row r="1347" spans="1:17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 s="7" t="str">
        <f t="shared" ref="N1347:N1409" si="21">IF(OR(M1347=0,M1347=1),"Valid","Invalid")</f>
        <v>Valid</v>
      </c>
      <c r="O1347">
        <v>0</v>
      </c>
      <c r="Q1347">
        <v>44.7</v>
      </c>
    </row>
    <row r="1348" spans="1:17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 s="7" t="str">
        <f t="shared" si="21"/>
        <v>Valid</v>
      </c>
      <c r="O1348">
        <v>0</v>
      </c>
      <c r="Q1348">
        <v>66</v>
      </c>
    </row>
    <row r="1349" spans="1:17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 s="7" t="str">
        <f t="shared" si="21"/>
        <v>Valid</v>
      </c>
      <c r="O1349">
        <v>0</v>
      </c>
      <c r="Q1349">
        <v>73</v>
      </c>
    </row>
    <row r="1350" spans="1:17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 s="7" t="str">
        <f t="shared" si="21"/>
        <v>Valid</v>
      </c>
      <c r="O1350">
        <v>0</v>
      </c>
      <c r="Q1350">
        <v>72.5</v>
      </c>
    </row>
    <row r="1351" spans="1:17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 s="7" t="str">
        <f t="shared" si="21"/>
        <v>Valid</v>
      </c>
      <c r="O1351">
        <v>0</v>
      </c>
      <c r="P1351">
        <v>6</v>
      </c>
      <c r="Q1351">
        <v>100</v>
      </c>
    </row>
    <row r="1352" spans="1:17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 s="7" t="str">
        <f t="shared" si="21"/>
        <v>Valid</v>
      </c>
      <c r="O1352">
        <v>0</v>
      </c>
      <c r="Q1352">
        <v>90.5</v>
      </c>
    </row>
    <row r="1353" spans="1:17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 s="7" t="str">
        <f t="shared" si="21"/>
        <v>Valid</v>
      </c>
      <c r="O1353">
        <v>0</v>
      </c>
      <c r="Q1353">
        <v>70.2</v>
      </c>
    </row>
    <row r="1354" spans="1:17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 s="7" t="str">
        <f t="shared" si="21"/>
        <v>Valid</v>
      </c>
      <c r="O1354">
        <v>0</v>
      </c>
      <c r="Q1354">
        <v>67.099999999999994</v>
      </c>
    </row>
    <row r="1355" spans="1:17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 s="7" t="str">
        <f t="shared" si="21"/>
        <v>Valid</v>
      </c>
      <c r="O1355">
        <v>0</v>
      </c>
      <c r="Q1355">
        <v>54.5</v>
      </c>
    </row>
    <row r="1356" spans="1:17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 s="7" t="str">
        <f t="shared" si="21"/>
        <v>Valid</v>
      </c>
      <c r="O1356">
        <v>0</v>
      </c>
      <c r="Q1356">
        <v>63.4</v>
      </c>
    </row>
    <row r="1357" spans="1:17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 s="7" t="str">
        <f t="shared" si="21"/>
        <v>Valid</v>
      </c>
      <c r="O1357">
        <v>0</v>
      </c>
      <c r="Q1357">
        <v>84.3</v>
      </c>
    </row>
    <row r="1358" spans="1:17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 s="7" t="str">
        <f t="shared" si="21"/>
        <v>Valid</v>
      </c>
      <c r="O1358">
        <v>0</v>
      </c>
      <c r="Q1358">
        <v>55</v>
      </c>
    </row>
    <row r="1359" spans="1:17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 s="7" t="str">
        <f t="shared" si="21"/>
        <v>Valid</v>
      </c>
      <c r="O1359">
        <v>0</v>
      </c>
      <c r="Q1359">
        <v>63.6</v>
      </c>
    </row>
    <row r="1360" spans="1:17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 s="7" t="str">
        <f t="shared" si="21"/>
        <v>Valid</v>
      </c>
      <c r="O1360">
        <v>0</v>
      </c>
      <c r="Q1360">
        <v>55.5</v>
      </c>
    </row>
    <row r="1361" spans="1:17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 s="7" t="str">
        <f t="shared" si="21"/>
        <v>Valid</v>
      </c>
      <c r="O1361">
        <v>0</v>
      </c>
      <c r="Q1361">
        <v>50.5</v>
      </c>
    </row>
    <row r="1362" spans="1:17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 s="7" t="str">
        <f t="shared" si="21"/>
        <v>Valid</v>
      </c>
      <c r="O1362">
        <v>0</v>
      </c>
      <c r="Q1362">
        <v>45.3</v>
      </c>
    </row>
    <row r="1363" spans="1:17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 s="7" t="str">
        <f t="shared" si="21"/>
        <v>Valid</v>
      </c>
      <c r="O1363">
        <v>0</v>
      </c>
      <c r="Q1363">
        <v>33.6</v>
      </c>
    </row>
    <row r="1364" spans="1:17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 s="7" t="str">
        <f t="shared" si="21"/>
        <v>Valid</v>
      </c>
      <c r="O1364">
        <v>0</v>
      </c>
      <c r="Q1364">
        <v>88.2</v>
      </c>
    </row>
    <row r="1365" spans="1:17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 s="7" t="str">
        <f t="shared" si="21"/>
        <v>Valid</v>
      </c>
      <c r="O1365">
        <v>0</v>
      </c>
      <c r="Q1365">
        <v>51.8</v>
      </c>
    </row>
    <row r="1366" spans="1:17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s="7" t="str">
        <f t="shared" si="21"/>
        <v>Valid</v>
      </c>
      <c r="O1366">
        <v>0</v>
      </c>
      <c r="Q1366">
        <v>87.9</v>
      </c>
    </row>
    <row r="1367" spans="1:17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 s="7" t="str">
        <f t="shared" si="21"/>
        <v>Invalid</v>
      </c>
      <c r="O1367">
        <v>0</v>
      </c>
      <c r="Q1367">
        <v>70.5</v>
      </c>
    </row>
    <row r="1368" spans="1:17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 s="7" t="str">
        <f t="shared" si="21"/>
        <v>Invalid</v>
      </c>
      <c r="O1368">
        <v>0</v>
      </c>
      <c r="Q1368">
        <v>58.5</v>
      </c>
    </row>
    <row r="1369" spans="1:17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 s="7" t="str">
        <f t="shared" si="21"/>
        <v>Valid</v>
      </c>
      <c r="O1369">
        <v>0</v>
      </c>
      <c r="Q1369">
        <v>65.599999999999994</v>
      </c>
    </row>
    <row r="1370" spans="1:17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 s="7" t="str">
        <f t="shared" si="21"/>
        <v>Valid</v>
      </c>
      <c r="O1370">
        <v>0</v>
      </c>
      <c r="Q1370">
        <v>62.7</v>
      </c>
    </row>
    <row r="1371" spans="1:17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 s="7" t="str">
        <f t="shared" si="21"/>
        <v>Valid</v>
      </c>
      <c r="O1371">
        <v>0</v>
      </c>
      <c r="Q1371">
        <v>50.9</v>
      </c>
    </row>
    <row r="1372" spans="1:17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 s="7" t="str">
        <f t="shared" si="21"/>
        <v>Valid</v>
      </c>
      <c r="O1372">
        <v>0</v>
      </c>
      <c r="Q1372">
        <v>60.6</v>
      </c>
    </row>
    <row r="1373" spans="1:17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 s="7" t="str">
        <f t="shared" si="21"/>
        <v>Valid</v>
      </c>
      <c r="O1373">
        <v>0</v>
      </c>
      <c r="Q1373">
        <v>76.599999999999994</v>
      </c>
    </row>
    <row r="1374" spans="1:17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 s="7" t="str">
        <f t="shared" si="21"/>
        <v>Valid</v>
      </c>
      <c r="O1374">
        <v>0</v>
      </c>
      <c r="Q1374">
        <v>54.4</v>
      </c>
    </row>
    <row r="1375" spans="1:17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 s="7" t="str">
        <f t="shared" si="21"/>
        <v>Valid</v>
      </c>
      <c r="O1375">
        <v>0</v>
      </c>
      <c r="Q1375">
        <v>31.2</v>
      </c>
    </row>
    <row r="1376" spans="1:17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 s="7" t="str">
        <f t="shared" si="21"/>
        <v>Valid</v>
      </c>
      <c r="O1376">
        <v>0</v>
      </c>
      <c r="Q1376">
        <v>72.400000000000006</v>
      </c>
    </row>
    <row r="1377" spans="1:17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 s="7" t="str">
        <f t="shared" si="21"/>
        <v>Valid</v>
      </c>
      <c r="O1377">
        <v>0</v>
      </c>
      <c r="Q1377">
        <v>74.5</v>
      </c>
    </row>
    <row r="1378" spans="1:17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s="7" t="str">
        <f t="shared" si="21"/>
        <v>Valid</v>
      </c>
      <c r="O1378">
        <v>0</v>
      </c>
      <c r="Q1378">
        <v>52.6</v>
      </c>
    </row>
    <row r="1379" spans="1:17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 s="7" t="str">
        <f t="shared" si="21"/>
        <v>Valid</v>
      </c>
      <c r="O1379">
        <v>0</v>
      </c>
      <c r="Q1379">
        <v>75.400000000000006</v>
      </c>
    </row>
    <row r="1380" spans="1:17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 s="7" t="str">
        <f t="shared" si="21"/>
        <v>Valid</v>
      </c>
      <c r="O1380">
        <v>0</v>
      </c>
      <c r="P1380">
        <v>9</v>
      </c>
      <c r="Q1380">
        <v>34</v>
      </c>
    </row>
    <row r="1381" spans="1:17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 s="7" t="str">
        <f t="shared" si="21"/>
        <v>Valid</v>
      </c>
      <c r="O1381">
        <v>0</v>
      </c>
      <c r="Q1381">
        <v>67.099999999999994</v>
      </c>
    </row>
    <row r="1382" spans="1:17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 s="7" t="str">
        <f t="shared" si="21"/>
        <v>Valid</v>
      </c>
      <c r="O1382">
        <v>0</v>
      </c>
      <c r="Q1382">
        <v>37.299999999999997</v>
      </c>
    </row>
    <row r="1383" spans="1:17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 s="7" t="str">
        <f t="shared" si="21"/>
        <v>Valid</v>
      </c>
      <c r="O1383">
        <v>0</v>
      </c>
      <c r="Q1383">
        <v>54.7</v>
      </c>
    </row>
    <row r="1384" spans="1:17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 s="7" t="str">
        <f t="shared" si="21"/>
        <v>Valid</v>
      </c>
      <c r="O1384">
        <v>0</v>
      </c>
      <c r="Q1384">
        <v>51.8</v>
      </c>
    </row>
    <row r="1385" spans="1:17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s="7" t="str">
        <f t="shared" si="21"/>
        <v>Valid</v>
      </c>
      <c r="O1385">
        <v>0</v>
      </c>
      <c r="Q1385">
        <v>49.2</v>
      </c>
    </row>
    <row r="1386" spans="1:17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 s="7" t="str">
        <f t="shared" si="21"/>
        <v>Invalid</v>
      </c>
      <c r="O1386">
        <v>0</v>
      </c>
      <c r="Q1386">
        <v>58.8</v>
      </c>
    </row>
    <row r="1387" spans="1:17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 s="7" t="str">
        <f t="shared" si="21"/>
        <v>Valid</v>
      </c>
      <c r="O1387">
        <v>0</v>
      </c>
      <c r="Q1387">
        <v>59.1</v>
      </c>
    </row>
    <row r="1388" spans="1:17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 s="7" t="str">
        <f t="shared" si="21"/>
        <v>Invalid</v>
      </c>
      <c r="O1388">
        <v>0</v>
      </c>
      <c r="Q1388">
        <v>49.6</v>
      </c>
    </row>
    <row r="1389" spans="1:17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s="7" t="str">
        <f t="shared" si="21"/>
        <v>Valid</v>
      </c>
      <c r="O1389">
        <v>0</v>
      </c>
      <c r="Q1389">
        <v>58.2</v>
      </c>
    </row>
    <row r="1390" spans="1:17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 s="7" t="str">
        <f t="shared" si="21"/>
        <v>Valid</v>
      </c>
      <c r="O1390">
        <v>0</v>
      </c>
      <c r="Q1390">
        <v>66.8</v>
      </c>
    </row>
    <row r="1391" spans="1:17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 s="7" t="str">
        <f t="shared" si="21"/>
        <v>Invalid</v>
      </c>
      <c r="O1391">
        <v>0</v>
      </c>
      <c r="Q1391">
        <v>58.3</v>
      </c>
    </row>
    <row r="1392" spans="1:17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 s="7" t="str">
        <f t="shared" si="21"/>
        <v>Valid</v>
      </c>
      <c r="O1392">
        <v>0</v>
      </c>
      <c r="Q1392">
        <v>38.5</v>
      </c>
    </row>
    <row r="1393" spans="1:17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 s="7" t="str">
        <f t="shared" si="21"/>
        <v>Valid</v>
      </c>
      <c r="O1393">
        <v>0</v>
      </c>
      <c r="Q1393">
        <v>76.900000000000006</v>
      </c>
    </row>
    <row r="1394" spans="1:17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 s="7" t="str">
        <f t="shared" si="21"/>
        <v>Valid</v>
      </c>
      <c r="O1394">
        <v>0</v>
      </c>
      <c r="Q1394">
        <v>54</v>
      </c>
    </row>
    <row r="1395" spans="1:17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 s="7" t="str">
        <f t="shared" si="21"/>
        <v>Valid</v>
      </c>
      <c r="O1395">
        <v>0</v>
      </c>
      <c r="Q1395">
        <v>70.599999999999994</v>
      </c>
    </row>
    <row r="1396" spans="1:17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 s="7" t="str">
        <f t="shared" si="21"/>
        <v>Valid</v>
      </c>
      <c r="O1396">
        <v>0</v>
      </c>
      <c r="Q1396">
        <v>69.400000000000006</v>
      </c>
    </row>
    <row r="1397" spans="1:17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 s="7" t="str">
        <f t="shared" si="21"/>
        <v>Valid</v>
      </c>
      <c r="O1397">
        <v>0</v>
      </c>
      <c r="P1397">
        <v>6</v>
      </c>
      <c r="Q1397">
        <v>89.7</v>
      </c>
    </row>
    <row r="1398" spans="1:17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 s="7" t="str">
        <f t="shared" si="21"/>
        <v>Valid</v>
      </c>
      <c r="O1398">
        <v>0</v>
      </c>
      <c r="Q1398">
        <v>62.4</v>
      </c>
    </row>
    <row r="1399" spans="1:17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s="7" t="str">
        <f t="shared" si="21"/>
        <v>Valid</v>
      </c>
      <c r="O1399">
        <v>0</v>
      </c>
      <c r="Q1399">
        <v>67.3</v>
      </c>
    </row>
    <row r="1400" spans="1:17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 s="7" t="str">
        <f t="shared" si="21"/>
        <v>Valid</v>
      </c>
      <c r="O1400">
        <v>0</v>
      </c>
      <c r="Q1400">
        <v>54.9</v>
      </c>
    </row>
    <row r="1401" spans="1:17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s="7" t="str">
        <f t="shared" si="21"/>
        <v>Valid</v>
      </c>
      <c r="O1401">
        <v>0</v>
      </c>
      <c r="Q1401">
        <v>55.7</v>
      </c>
    </row>
    <row r="1402" spans="1:17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 s="7" t="str">
        <f t="shared" si="21"/>
        <v>Valid</v>
      </c>
      <c r="O1402">
        <v>0</v>
      </c>
      <c r="Q1402">
        <v>70.599999999999994</v>
      </c>
    </row>
    <row r="1403" spans="1:17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 s="7" t="str">
        <f t="shared" si="21"/>
        <v>Valid</v>
      </c>
      <c r="O1403">
        <v>0</v>
      </c>
      <c r="Q1403">
        <v>60.9</v>
      </c>
    </row>
    <row r="1404" spans="1:17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 s="7" t="str">
        <f t="shared" si="21"/>
        <v>Valid</v>
      </c>
      <c r="O1404">
        <v>0</v>
      </c>
      <c r="Q1404">
        <v>33.6</v>
      </c>
    </row>
    <row r="1405" spans="1:17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s="7" t="str">
        <f t="shared" si="21"/>
        <v>Valid</v>
      </c>
      <c r="O1405">
        <v>0</v>
      </c>
      <c r="Q1405">
        <v>68</v>
      </c>
    </row>
    <row r="1406" spans="1:17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 s="7" t="str">
        <f t="shared" si="21"/>
        <v>Valid</v>
      </c>
      <c r="O1406">
        <v>0</v>
      </c>
      <c r="Q1406">
        <v>62</v>
      </c>
    </row>
    <row r="1407" spans="1:17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 s="7" t="str">
        <f t="shared" si="21"/>
        <v>Valid</v>
      </c>
      <c r="O1407">
        <v>0</v>
      </c>
      <c r="Q1407">
        <v>72.5</v>
      </c>
    </row>
    <row r="1408" spans="1:17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 s="7" t="str">
        <f t="shared" si="21"/>
        <v>Valid</v>
      </c>
      <c r="O1408">
        <v>0</v>
      </c>
      <c r="Q1408">
        <v>70.3</v>
      </c>
    </row>
    <row r="1409" spans="1:17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 s="7" t="str">
        <f t="shared" si="21"/>
        <v>Valid</v>
      </c>
      <c r="O1409">
        <v>0</v>
      </c>
      <c r="Q1409">
        <v>39.9</v>
      </c>
    </row>
    <row r="1411" spans="1:17">
      <c r="N1411">
        <f>COUNTIF(N2:N1409,"Invalid")</f>
        <v>100</v>
      </c>
    </row>
  </sheetData>
  <autoFilter ref="A1:Q1409" xr:uid="{2F564ADC-F04E-4A49-B0E7-F2E3BB99266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018A-0924-4983-A4A7-9141E807C2D1}">
  <dimension ref="A1:R1409"/>
  <sheetViews>
    <sheetView topLeftCell="B1" workbookViewId="0">
      <selection activeCell="L21" sqref="L21"/>
    </sheetView>
  </sheetViews>
  <sheetFormatPr defaultRowHeight="13.8"/>
  <cols>
    <col min="2" max="2" width="12" customWidth="1"/>
    <col min="3" max="3" width="9.09765625" bestFit="1" customWidth="1"/>
    <col min="5" max="5" width="8.3984375" bestFit="1" customWidth="1"/>
    <col min="8" max="8" width="3.19921875" customWidth="1"/>
    <col min="9" max="9" width="3.09765625" customWidth="1"/>
    <col min="10" max="10" width="8" bestFit="1" customWidth="1"/>
    <col min="12" max="12" width="15.3984375" customWidth="1"/>
    <col min="16" max="16" width="4.19921875" customWidth="1"/>
    <col min="17" max="17" width="29" bestFit="1" customWidth="1"/>
    <col min="18" max="18" width="21.5" customWidth="1"/>
  </cols>
  <sheetData>
    <row r="1" spans="1:18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8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8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 t="s">
        <v>1458</v>
      </c>
      <c r="R4" t="s">
        <v>1460</v>
      </c>
    </row>
    <row r="5" spans="1:18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 t="s">
        <v>1456</v>
      </c>
      <c r="R5">
        <f>_xlfn.QUARTILE.INC(L2:L1409, 1)</f>
        <v>0</v>
      </c>
    </row>
    <row r="6" spans="1:18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 t="s">
        <v>1459</v>
      </c>
    </row>
    <row r="7" spans="1:18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 t="s">
        <v>1457</v>
      </c>
      <c r="R7">
        <f>_xlfn.QUARTILE.INC(L2:L1409,3)</f>
        <v>0</v>
      </c>
    </row>
    <row r="8" spans="1:18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8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8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8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8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8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8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8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8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DE61-1E5A-4AC5-A040-CA294DB2C000}">
  <dimension ref="A1:U1409"/>
  <sheetViews>
    <sheetView tabSelected="1" topLeftCell="C1" workbookViewId="0">
      <selection activeCell="M18" sqref="M18"/>
    </sheetView>
  </sheetViews>
  <sheetFormatPr defaultRowHeight="13.8"/>
  <cols>
    <col min="18" max="18" width="15.3984375" bestFit="1" customWidth="1"/>
    <col min="19" max="19" width="16.09765625" bestFit="1" customWidth="1"/>
    <col min="20" max="20" width="9.8984375" bestFit="1" customWidth="1"/>
    <col min="21" max="21" width="11" bestFit="1" customWidth="1"/>
  </cols>
  <sheetData>
    <row r="1" spans="1:21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1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 s="8" t="s">
        <v>1462</v>
      </c>
    </row>
    <row r="3" spans="1:21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 s="5" t="s">
        <v>1451</v>
      </c>
      <c r="S3" s="5" t="s">
        <v>1461</v>
      </c>
    </row>
    <row r="4" spans="1:21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 s="5" t="s">
        <v>1452</v>
      </c>
      <c r="S4" t="s">
        <v>17</v>
      </c>
      <c r="T4" t="s">
        <v>723</v>
      </c>
      <c r="U4" t="s">
        <v>1453</v>
      </c>
    </row>
    <row r="5" spans="1:21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6" t="s">
        <v>28</v>
      </c>
      <c r="S5" s="4">
        <v>158</v>
      </c>
      <c r="T5" s="4">
        <v>172</v>
      </c>
      <c r="U5" s="4">
        <v>330</v>
      </c>
    </row>
    <row r="6" spans="1:21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6" t="s">
        <v>18</v>
      </c>
      <c r="S6" s="4">
        <v>203</v>
      </c>
      <c r="T6" s="4">
        <v>180</v>
      </c>
      <c r="U6" s="4">
        <v>383</v>
      </c>
    </row>
    <row r="7" spans="1:21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 s="6" t="s">
        <v>32</v>
      </c>
      <c r="S7" s="4">
        <v>184</v>
      </c>
      <c r="T7" s="4">
        <v>184</v>
      </c>
      <c r="U7" s="4">
        <v>368</v>
      </c>
    </row>
    <row r="8" spans="1:21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 s="6" t="s">
        <v>23</v>
      </c>
      <c r="S8" s="4">
        <v>148</v>
      </c>
      <c r="T8" s="4">
        <v>179</v>
      </c>
      <c r="U8" s="4">
        <v>327</v>
      </c>
    </row>
    <row r="9" spans="1:21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 s="6" t="s">
        <v>1453</v>
      </c>
      <c r="S9" s="4">
        <v>693</v>
      </c>
      <c r="T9" s="4">
        <v>715</v>
      </c>
      <c r="U9" s="4">
        <v>1408</v>
      </c>
    </row>
    <row r="10" spans="1:21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21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21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 s="8" t="s">
        <v>1463</v>
      </c>
    </row>
    <row r="13" spans="1:21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R13" s="5" t="s">
        <v>1451</v>
      </c>
      <c r="S13" s="5" t="s">
        <v>1461</v>
      </c>
    </row>
    <row r="14" spans="1:21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R14" s="5" t="s">
        <v>1452</v>
      </c>
      <c r="S14" t="s">
        <v>17</v>
      </c>
      <c r="T14" t="s">
        <v>723</v>
      </c>
      <c r="U14" t="s">
        <v>1453</v>
      </c>
    </row>
    <row r="15" spans="1:21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R15" s="6" t="s">
        <v>19</v>
      </c>
      <c r="S15" s="4">
        <v>200</v>
      </c>
      <c r="T15" s="4">
        <v>214</v>
      </c>
      <c r="U15" s="4">
        <v>414</v>
      </c>
    </row>
    <row r="16" spans="1:21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R16" s="6" t="s">
        <v>24</v>
      </c>
      <c r="S16" s="4">
        <v>428</v>
      </c>
      <c r="T16" s="4">
        <v>436</v>
      </c>
      <c r="U16" s="4">
        <v>864</v>
      </c>
    </row>
    <row r="17" spans="1:21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R17" s="6" t="s">
        <v>34</v>
      </c>
      <c r="S17" s="4">
        <v>56</v>
      </c>
      <c r="T17" s="4">
        <v>56</v>
      </c>
      <c r="U17" s="4">
        <v>112</v>
      </c>
    </row>
    <row r="18" spans="1:21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R18" s="6" t="s">
        <v>1464</v>
      </c>
      <c r="S18" s="4">
        <v>9</v>
      </c>
      <c r="T18" s="4">
        <v>9</v>
      </c>
      <c r="U18" s="4">
        <v>18</v>
      </c>
    </row>
    <row r="19" spans="1:21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R19" s="6" t="s">
        <v>1453</v>
      </c>
      <c r="S19" s="4">
        <v>693</v>
      </c>
      <c r="T19" s="4">
        <v>715</v>
      </c>
      <c r="U19" s="4">
        <v>1408</v>
      </c>
    </row>
    <row r="20" spans="1:21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21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21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R22" s="8" t="s">
        <v>1465</v>
      </c>
    </row>
    <row r="23" spans="1:21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R23" s="5" t="s">
        <v>1451</v>
      </c>
      <c r="S23" s="5" t="s">
        <v>1461</v>
      </c>
    </row>
    <row r="24" spans="1:21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R24" s="5" t="s">
        <v>1452</v>
      </c>
      <c r="S24" t="s">
        <v>17</v>
      </c>
      <c r="T24" t="s">
        <v>723</v>
      </c>
      <c r="U24" t="s">
        <v>1453</v>
      </c>
    </row>
    <row r="25" spans="1:21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R25" s="6" t="s">
        <v>20</v>
      </c>
      <c r="S25" s="4">
        <v>74</v>
      </c>
      <c r="T25" s="4">
        <v>56</v>
      </c>
      <c r="U25" s="4">
        <v>130</v>
      </c>
    </row>
    <row r="26" spans="1:21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R26" s="6" t="s">
        <v>25</v>
      </c>
      <c r="S26" s="4">
        <v>246</v>
      </c>
      <c r="T26" s="4">
        <v>241</v>
      </c>
      <c r="U26" s="4">
        <v>487</v>
      </c>
    </row>
    <row r="27" spans="1:21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R27" s="6" t="s">
        <v>29</v>
      </c>
      <c r="S27" s="4">
        <v>156</v>
      </c>
      <c r="T27" s="4">
        <v>176</v>
      </c>
      <c r="U27" s="4">
        <v>332</v>
      </c>
    </row>
    <row r="28" spans="1:21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R28" s="6" t="s">
        <v>39</v>
      </c>
      <c r="S28" s="4">
        <v>81</v>
      </c>
      <c r="T28" s="4">
        <v>91</v>
      </c>
      <c r="U28" s="4">
        <v>172</v>
      </c>
    </row>
    <row r="29" spans="1:21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R29" s="6" t="s">
        <v>41</v>
      </c>
      <c r="S29" s="4">
        <v>130</v>
      </c>
      <c r="T29" s="4">
        <v>133</v>
      </c>
      <c r="U29" s="4">
        <v>263</v>
      </c>
    </row>
    <row r="30" spans="1:21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R30" s="6" t="s">
        <v>1464</v>
      </c>
      <c r="S30" s="4">
        <v>6</v>
      </c>
      <c r="T30" s="4">
        <v>18</v>
      </c>
      <c r="U30" s="4">
        <v>24</v>
      </c>
    </row>
    <row r="31" spans="1:21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R31" s="6" t="s">
        <v>1453</v>
      </c>
      <c r="S31" s="4">
        <v>693</v>
      </c>
      <c r="T31" s="4">
        <v>715</v>
      </c>
      <c r="U31" s="4">
        <v>1408</v>
      </c>
    </row>
    <row r="32" spans="1:21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8" sqref="B8"/>
    </sheetView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experiment_data</vt:lpstr>
      <vt:lpstr>Missing_Value_Check</vt:lpstr>
      <vt:lpstr>Group counts</vt:lpstr>
      <vt:lpstr>Duplicate_Check</vt:lpstr>
      <vt:lpstr>Binary_Validation</vt:lpstr>
      <vt:lpstr>Revenue_Outlier_Check</vt:lpstr>
      <vt:lpstr>Segment_Distribution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shah</cp:lastModifiedBy>
  <dcterms:modified xsi:type="dcterms:W3CDTF">2026-06-19T14:49:59Z</dcterms:modified>
</cp:coreProperties>
</file>